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tanabemiku/Downloads/"/>
    </mc:Choice>
  </mc:AlternateContent>
  <xr:revisionPtr revIDLastSave="0" documentId="13_ncr:1_{BF85AE0D-BBD6-A14C-97F8-45FB8253D59E}" xr6:coauthVersionLast="47" xr6:coauthVersionMax="47" xr10:uidLastSave="{00000000-0000-0000-0000-000000000000}"/>
  <bookViews>
    <workbookView xWindow="0" yWindow="880" windowWidth="30240" windowHeight="19640" activeTab="5" xr2:uid="{00000000-000D-0000-FFFF-FFFF00000000}"/>
  </bookViews>
  <sheets>
    <sheet name="Label" sheetId="1" r:id="rId1"/>
    <sheet name="シート7" sheetId="2" state="hidden" r:id="rId2"/>
    <sheet name="saner-vrt" sheetId="3" state="hidden" r:id="rId3"/>
    <sheet name="Horikawa" sheetId="4" state="hidden" r:id="rId4"/>
    <sheet name="MIku" sheetId="5" state="hidden" r:id="rId5"/>
    <sheet name="Detecton Number" sheetId="6" r:id="rId6"/>
    <sheet name="Conflict" sheetId="7" state="hidden" r:id="rId7"/>
    <sheet name="シート5" sheetId="8" state="hidden" r:id="rId8"/>
    <sheet name="Detection-saner" sheetId="9" state="hidden" r:id="rId9"/>
    <sheet name="Detection" sheetId="10" state="hidden" r:id="rId10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0" l="1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D8" i="10" a="1"/>
  <c r="D8" i="10" s="1"/>
  <c r="B8" i="10"/>
  <c r="D7" i="10" a="1"/>
  <c r="D7" i="10" s="1"/>
  <c r="B7" i="10"/>
  <c r="D6" i="10" a="1"/>
  <c r="D6" i="10" s="1"/>
  <c r="B6" i="10"/>
  <c r="D5" i="10" a="1"/>
  <c r="D5" i="10"/>
  <c r="B5" i="10"/>
  <c r="D4" i="10" a="1"/>
  <c r="D4" i="10" s="1"/>
  <c r="B4" i="10"/>
  <c r="D3" i="10" a="1"/>
  <c r="D3" i="10"/>
  <c r="B3" i="10"/>
  <c r="D2" i="10" a="1"/>
  <c r="D2" i="10"/>
  <c r="B2" i="10"/>
  <c r="E76" i="7"/>
  <c r="E75" i="7"/>
  <c r="H74" i="7"/>
  <c r="E74" i="7"/>
  <c r="H73" i="7"/>
  <c r="E73" i="7"/>
  <c r="H72" i="7"/>
  <c r="E72" i="7"/>
  <c r="H71" i="7"/>
  <c r="E71" i="7"/>
  <c r="H70" i="7"/>
  <c r="E70" i="7"/>
  <c r="H69" i="7"/>
  <c r="E69" i="7"/>
  <c r="H68" i="7"/>
  <c r="E68" i="7"/>
  <c r="H67" i="7"/>
  <c r="E67" i="7"/>
  <c r="H66" i="7"/>
  <c r="E66" i="7"/>
  <c r="H65" i="7"/>
  <c r="E65" i="7"/>
  <c r="H64" i="7"/>
  <c r="E64" i="7"/>
  <c r="H63" i="7"/>
  <c r="E63" i="7"/>
  <c r="H62" i="7"/>
  <c r="E62" i="7"/>
  <c r="H61" i="7"/>
  <c r="E61" i="7"/>
  <c r="H60" i="7"/>
  <c r="E60" i="7"/>
  <c r="H59" i="7"/>
  <c r="E59" i="7"/>
  <c r="H58" i="7"/>
  <c r="E58" i="7"/>
  <c r="H57" i="7"/>
  <c r="E57" i="7"/>
  <c r="H56" i="7"/>
  <c r="E56" i="7"/>
  <c r="H55" i="7"/>
  <c r="E55" i="7"/>
  <c r="H54" i="7"/>
  <c r="E54" i="7"/>
  <c r="H53" i="7"/>
  <c r="E53" i="7"/>
  <c r="H52" i="7"/>
  <c r="E52" i="7"/>
  <c r="H51" i="7"/>
  <c r="E51" i="7"/>
  <c r="H50" i="7"/>
  <c r="E50" i="7"/>
  <c r="H49" i="7"/>
  <c r="E49" i="7"/>
  <c r="H48" i="7"/>
  <c r="E48" i="7"/>
  <c r="H47" i="7"/>
  <c r="E47" i="7"/>
  <c r="H46" i="7"/>
  <c r="E46" i="7"/>
  <c r="H45" i="7"/>
  <c r="E45" i="7"/>
  <c r="H44" i="7"/>
  <c r="E44" i="7"/>
  <c r="H43" i="7"/>
  <c r="E43" i="7"/>
  <c r="H42" i="7"/>
  <c r="E42" i="7"/>
  <c r="H41" i="7"/>
  <c r="E41" i="7"/>
  <c r="L35" i="7"/>
  <c r="K35" i="7"/>
  <c r="F35" i="7"/>
  <c r="J35" i="7" s="1"/>
  <c r="C345" i="3" s="1"/>
  <c r="L34" i="7"/>
  <c r="K34" i="7"/>
  <c r="J34" i="7"/>
  <c r="C344" i="3" s="1"/>
  <c r="I34" i="7"/>
  <c r="F34" i="7"/>
  <c r="L33" i="7"/>
  <c r="K33" i="7"/>
  <c r="F33" i="7"/>
  <c r="J33" i="7" s="1"/>
  <c r="C343" i="3" s="1"/>
  <c r="L32" i="7"/>
  <c r="K32" i="7"/>
  <c r="J32" i="7"/>
  <c r="I32" i="7"/>
  <c r="F32" i="7"/>
  <c r="L31" i="7"/>
  <c r="K31" i="7"/>
  <c r="F31" i="7"/>
  <c r="J31" i="7" s="1"/>
  <c r="C341" i="3" s="1"/>
  <c r="L30" i="7"/>
  <c r="K30" i="7"/>
  <c r="J30" i="7"/>
  <c r="I30" i="7"/>
  <c r="F30" i="7"/>
  <c r="L29" i="7"/>
  <c r="K29" i="7"/>
  <c r="F29" i="7"/>
  <c r="J29" i="7" s="1"/>
  <c r="C339" i="3" s="1"/>
  <c r="L28" i="7"/>
  <c r="K28" i="7"/>
  <c r="J28" i="7"/>
  <c r="I28" i="7"/>
  <c r="B338" i="3" s="1"/>
  <c r="F28" i="7"/>
  <c r="L27" i="7"/>
  <c r="K27" i="7"/>
  <c r="F27" i="7"/>
  <c r="J27" i="7" s="1"/>
  <c r="C337" i="3" s="1"/>
  <c r="L26" i="7"/>
  <c r="K26" i="7"/>
  <c r="J26" i="7"/>
  <c r="I26" i="7"/>
  <c r="F26" i="7"/>
  <c r="L25" i="7"/>
  <c r="K25" i="7"/>
  <c r="F25" i="7"/>
  <c r="J25" i="7" s="1"/>
  <c r="C335" i="3" s="1"/>
  <c r="L24" i="7"/>
  <c r="K24" i="7"/>
  <c r="J24" i="7"/>
  <c r="C334" i="3" s="1"/>
  <c r="I24" i="7"/>
  <c r="F24" i="7"/>
  <c r="L23" i="7"/>
  <c r="K23" i="7"/>
  <c r="F23" i="7"/>
  <c r="J23" i="7" s="1"/>
  <c r="C333" i="3" s="1"/>
  <c r="L22" i="7"/>
  <c r="K22" i="7"/>
  <c r="J22" i="7"/>
  <c r="I22" i="7"/>
  <c r="F22" i="7"/>
  <c r="L21" i="7"/>
  <c r="K21" i="7"/>
  <c r="F21" i="7"/>
  <c r="J21" i="7" s="1"/>
  <c r="C331" i="3" s="1"/>
  <c r="L20" i="7"/>
  <c r="K20" i="7"/>
  <c r="J20" i="7"/>
  <c r="I20" i="7"/>
  <c r="F20" i="7"/>
  <c r="L19" i="7"/>
  <c r="K19" i="7"/>
  <c r="F19" i="7"/>
  <c r="J19" i="7" s="1"/>
  <c r="C329" i="3" s="1"/>
  <c r="L18" i="7"/>
  <c r="K18" i="7"/>
  <c r="J18" i="7"/>
  <c r="I18" i="7"/>
  <c r="B328" i="3" s="1"/>
  <c r="F18" i="7"/>
  <c r="L17" i="7"/>
  <c r="K17" i="7"/>
  <c r="F17" i="7"/>
  <c r="J17" i="7" s="1"/>
  <c r="C327" i="3" s="1"/>
  <c r="L16" i="7"/>
  <c r="K16" i="7"/>
  <c r="J16" i="7"/>
  <c r="I16" i="7"/>
  <c r="F16" i="7"/>
  <c r="L15" i="7"/>
  <c r="K15" i="7"/>
  <c r="F15" i="7"/>
  <c r="J15" i="7" s="1"/>
  <c r="C325" i="3" s="1"/>
  <c r="L14" i="7"/>
  <c r="K14" i="7"/>
  <c r="J14" i="7"/>
  <c r="C324" i="3" s="1"/>
  <c r="I14" i="7"/>
  <c r="F14" i="7"/>
  <c r="L13" i="7"/>
  <c r="K13" i="7"/>
  <c r="F13" i="7"/>
  <c r="J13" i="7" s="1"/>
  <c r="C323" i="3" s="1"/>
  <c r="L12" i="7"/>
  <c r="K12" i="7"/>
  <c r="J12" i="7"/>
  <c r="I12" i="7"/>
  <c r="F12" i="7"/>
  <c r="L11" i="7"/>
  <c r="K11" i="7"/>
  <c r="F11" i="7"/>
  <c r="J11" i="7" s="1"/>
  <c r="C321" i="3" s="1"/>
  <c r="L10" i="7"/>
  <c r="K10" i="7"/>
  <c r="J10" i="7"/>
  <c r="I10" i="7"/>
  <c r="F10" i="7"/>
  <c r="L9" i="7"/>
  <c r="K9" i="7"/>
  <c r="F9" i="7"/>
  <c r="J9" i="7" s="1"/>
  <c r="C319" i="3" s="1"/>
  <c r="L8" i="7"/>
  <c r="K8" i="7"/>
  <c r="J8" i="7"/>
  <c r="I8" i="7"/>
  <c r="B318" i="3" s="1"/>
  <c r="F8" i="7"/>
  <c r="L7" i="7"/>
  <c r="K7" i="7"/>
  <c r="F7" i="7"/>
  <c r="J7" i="7" s="1"/>
  <c r="C317" i="3" s="1"/>
  <c r="L6" i="7"/>
  <c r="K6" i="7"/>
  <c r="J6" i="7"/>
  <c r="I6" i="7"/>
  <c r="F6" i="7"/>
  <c r="L5" i="7"/>
  <c r="K5" i="7"/>
  <c r="F5" i="7"/>
  <c r="J5" i="7" s="1"/>
  <c r="C315" i="3" s="1"/>
  <c r="L4" i="7"/>
  <c r="K4" i="7"/>
  <c r="J4" i="7"/>
  <c r="C314" i="3" s="1"/>
  <c r="I4" i="7"/>
  <c r="F4" i="7"/>
  <c r="L3" i="7"/>
  <c r="K3" i="7"/>
  <c r="F3" i="7"/>
  <c r="J3" i="7" s="1"/>
  <c r="C313" i="3" s="1"/>
  <c r="L2" i="7"/>
  <c r="K2" i="7"/>
  <c r="K349" i="7" s="1"/>
  <c r="J2" i="7"/>
  <c r="I2" i="7"/>
  <c r="F2" i="7"/>
  <c r="B344" i="3"/>
  <c r="C342" i="3"/>
  <c r="B342" i="3"/>
  <c r="C340" i="3"/>
  <c r="B340" i="3"/>
  <c r="C338" i="3"/>
  <c r="C336" i="3"/>
  <c r="B336" i="3"/>
  <c r="B334" i="3"/>
  <c r="C332" i="3"/>
  <c r="B332" i="3"/>
  <c r="C330" i="3"/>
  <c r="B330" i="3"/>
  <c r="C328" i="3"/>
  <c r="C326" i="3"/>
  <c r="B326" i="3"/>
  <c r="B324" i="3"/>
  <c r="C322" i="3"/>
  <c r="B322" i="3"/>
  <c r="C320" i="3"/>
  <c r="B320" i="3"/>
  <c r="C318" i="3"/>
  <c r="C316" i="3"/>
  <c r="B316" i="3"/>
  <c r="B314" i="3"/>
  <c r="C312" i="3"/>
  <c r="B312" i="3"/>
  <c r="C311" i="3"/>
  <c r="B311" i="3"/>
  <c r="C310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J344" i="2" a="1"/>
  <c r="J344" i="2" s="1"/>
  <c r="I344" i="2" a="1"/>
  <c r="I344" i="2" s="1"/>
  <c r="H344" i="2"/>
  <c r="J343" i="2" a="1"/>
  <c r="J343" i="2" s="1"/>
  <c r="I343" i="2" a="1"/>
  <c r="I343" i="2" s="1"/>
  <c r="H343" i="2"/>
  <c r="J342" i="2" a="1"/>
  <c r="J342" i="2" s="1"/>
  <c r="I342" i="2" a="1"/>
  <c r="I342" i="2" s="1"/>
  <c r="H342" i="2"/>
  <c r="J341" i="2" a="1"/>
  <c r="J341" i="2"/>
  <c r="I341" i="2" a="1"/>
  <c r="I341" i="2"/>
  <c r="H341" i="2"/>
  <c r="J340" i="2" a="1"/>
  <c r="J340" i="2" s="1"/>
  <c r="I340" i="2" a="1"/>
  <c r="I340" i="2" s="1"/>
  <c r="H340" i="2"/>
  <c r="B340" i="2"/>
  <c r="J339" i="2" a="1"/>
  <c r="J339" i="2" s="1"/>
  <c r="I339" i="2" a="1"/>
  <c r="I339" i="2" s="1"/>
  <c r="H339" i="2"/>
  <c r="B339" i="2"/>
  <c r="J338" i="2" a="1"/>
  <c r="J338" i="2" s="1"/>
  <c r="I338" i="2" a="1"/>
  <c r="I338" i="2" s="1"/>
  <c r="H338" i="2"/>
  <c r="B338" i="2"/>
  <c r="J337" i="2" a="1"/>
  <c r="J337" i="2" s="1"/>
  <c r="I337" i="2" a="1"/>
  <c r="I337" i="2" s="1"/>
  <c r="H337" i="2"/>
  <c r="B337" i="2"/>
  <c r="J336" i="2" a="1"/>
  <c r="J336" i="2" s="1"/>
  <c r="I336" i="2" a="1"/>
  <c r="I336" i="2" s="1"/>
  <c r="H336" i="2"/>
  <c r="B336" i="2"/>
  <c r="J335" i="2" a="1"/>
  <c r="J335" i="2" s="1"/>
  <c r="I335" i="2" a="1"/>
  <c r="I335" i="2" s="1"/>
  <c r="H335" i="2"/>
  <c r="E335" i="2"/>
  <c r="B335" i="2"/>
  <c r="J334" i="2" a="1"/>
  <c r="J334" i="2" s="1"/>
  <c r="I334" i="2" a="1"/>
  <c r="I334" i="2" s="1"/>
  <c r="H334" i="2"/>
  <c r="E334" i="2"/>
  <c r="B334" i="2"/>
  <c r="J333" i="2" a="1"/>
  <c r="J333" i="2" s="1"/>
  <c r="I333" i="2" a="1"/>
  <c r="I333" i="2" s="1"/>
  <c r="H333" i="2"/>
  <c r="E333" i="2"/>
  <c r="B333" i="2"/>
  <c r="J332" i="2" a="1"/>
  <c r="J332" i="2" s="1"/>
  <c r="I332" i="2" a="1"/>
  <c r="I332" i="2" s="1"/>
  <c r="H332" i="2"/>
  <c r="E332" i="2"/>
  <c r="B332" i="2"/>
  <c r="J331" i="2" a="1"/>
  <c r="J331" i="2" s="1"/>
  <c r="I331" i="2" a="1"/>
  <c r="I331" i="2" s="1"/>
  <c r="H331" i="2"/>
  <c r="E331" i="2"/>
  <c r="B331" i="2"/>
  <c r="J330" i="2" a="1"/>
  <c r="J330" i="2" s="1"/>
  <c r="I330" i="2" a="1"/>
  <c r="I330" i="2" s="1"/>
  <c r="H330" i="2"/>
  <c r="E330" i="2"/>
  <c r="B330" i="2"/>
  <c r="J329" i="2" a="1"/>
  <c r="J329" i="2" s="1"/>
  <c r="I329" i="2" a="1"/>
  <c r="I329" i="2" s="1"/>
  <c r="H329" i="2"/>
  <c r="E329" i="2"/>
  <c r="B329" i="2"/>
  <c r="J328" i="2" a="1"/>
  <c r="J328" i="2" s="1"/>
  <c r="I328" i="2" a="1"/>
  <c r="I328" i="2" s="1"/>
  <c r="H328" i="2"/>
  <c r="E328" i="2"/>
  <c r="B328" i="2"/>
  <c r="J327" i="2" a="1"/>
  <c r="J327" i="2" s="1"/>
  <c r="I327" i="2" a="1"/>
  <c r="I327" i="2" s="1"/>
  <c r="H327" i="2"/>
  <c r="E327" i="2"/>
  <c r="B327" i="2"/>
  <c r="J326" i="2" a="1"/>
  <c r="J326" i="2" s="1"/>
  <c r="I326" i="2" a="1"/>
  <c r="I326" i="2" s="1"/>
  <c r="H326" i="2"/>
  <c r="E326" i="2"/>
  <c r="B326" i="2"/>
  <c r="J325" i="2" a="1"/>
  <c r="J325" i="2" s="1"/>
  <c r="I325" i="2" a="1"/>
  <c r="I325" i="2" s="1"/>
  <c r="H325" i="2"/>
  <c r="E325" i="2"/>
  <c r="B325" i="2"/>
  <c r="J324" i="2" a="1"/>
  <c r="J324" i="2" s="1"/>
  <c r="I324" i="2" a="1"/>
  <c r="I324" i="2" s="1"/>
  <c r="H324" i="2"/>
  <c r="E324" i="2"/>
  <c r="B324" i="2"/>
  <c r="J323" i="2" a="1"/>
  <c r="J323" i="2" s="1"/>
  <c r="I323" i="2" a="1"/>
  <c r="I323" i="2" s="1"/>
  <c r="H323" i="2"/>
  <c r="E323" i="2"/>
  <c r="B323" i="2"/>
  <c r="J322" i="2" a="1"/>
  <c r="J322" i="2" s="1"/>
  <c r="I322" i="2" a="1"/>
  <c r="I322" i="2" s="1"/>
  <c r="H322" i="2"/>
  <c r="E322" i="2"/>
  <c r="B322" i="2"/>
  <c r="J321" i="2" a="1"/>
  <c r="J321" i="2" s="1"/>
  <c r="I321" i="2" a="1"/>
  <c r="I321" i="2" s="1"/>
  <c r="H321" i="2"/>
  <c r="E321" i="2"/>
  <c r="B321" i="2"/>
  <c r="J320" i="2" a="1"/>
  <c r="J320" i="2" s="1"/>
  <c r="I320" i="2" a="1"/>
  <c r="I320" i="2"/>
  <c r="H320" i="2"/>
  <c r="E320" i="2"/>
  <c r="B320" i="2"/>
  <c r="J319" i="2" a="1"/>
  <c r="J319" i="2" s="1"/>
  <c r="I319" i="2" a="1"/>
  <c r="I319" i="2" s="1"/>
  <c r="H319" i="2"/>
  <c r="E319" i="2"/>
  <c r="B319" i="2"/>
  <c r="J318" i="2" a="1"/>
  <c r="J318" i="2" s="1"/>
  <c r="I318" i="2" a="1"/>
  <c r="I318" i="2" s="1"/>
  <c r="H318" i="2"/>
  <c r="E318" i="2"/>
  <c r="B318" i="2"/>
  <c r="J317" i="2" a="1"/>
  <c r="J317" i="2" s="1"/>
  <c r="I317" i="2" a="1"/>
  <c r="I317" i="2" s="1"/>
  <c r="H317" i="2"/>
  <c r="E317" i="2"/>
  <c r="B317" i="2"/>
  <c r="J316" i="2" a="1"/>
  <c r="J316" i="2" s="1"/>
  <c r="I316" i="2" a="1"/>
  <c r="I316" i="2" s="1"/>
  <c r="H316" i="2"/>
  <c r="E316" i="2"/>
  <c r="B316" i="2"/>
  <c r="J315" i="2" a="1"/>
  <c r="J315" i="2" s="1"/>
  <c r="I315" i="2" a="1"/>
  <c r="I315" i="2" s="1"/>
  <c r="H315" i="2"/>
  <c r="E315" i="2"/>
  <c r="B315" i="2"/>
  <c r="J314" i="2" a="1"/>
  <c r="J314" i="2" s="1"/>
  <c r="I314" i="2" a="1"/>
  <c r="I314" i="2" s="1"/>
  <c r="H314" i="2"/>
  <c r="E314" i="2"/>
  <c r="B314" i="2"/>
  <c r="J313" i="2" a="1"/>
  <c r="J313" i="2" s="1"/>
  <c r="I313" i="2" a="1"/>
  <c r="I313" i="2" s="1"/>
  <c r="H313" i="2"/>
  <c r="E313" i="2"/>
  <c r="B313" i="2"/>
  <c r="J312" i="2" a="1"/>
  <c r="J312" i="2" s="1"/>
  <c r="I312" i="2" a="1"/>
  <c r="I312" i="2" s="1"/>
  <c r="H312" i="2"/>
  <c r="E312" i="2"/>
  <c r="B312" i="2"/>
  <c r="J311" i="2" a="1"/>
  <c r="J311" i="2" s="1"/>
  <c r="I311" i="2" a="1"/>
  <c r="I311" i="2" s="1"/>
  <c r="H311" i="2"/>
  <c r="E311" i="2"/>
  <c r="B311" i="2"/>
  <c r="J310" i="2" a="1"/>
  <c r="J310" i="2" s="1"/>
  <c r="I310" i="2" a="1"/>
  <c r="I310" i="2" s="1"/>
  <c r="H310" i="2"/>
  <c r="E310" i="2"/>
  <c r="B310" i="2"/>
  <c r="J309" i="2" a="1"/>
  <c r="J309" i="2" s="1"/>
  <c r="I309" i="2" a="1"/>
  <c r="I309" i="2" s="1"/>
  <c r="H309" i="2"/>
  <c r="E309" i="2"/>
  <c r="B309" i="2"/>
  <c r="J308" i="2" a="1"/>
  <c r="J308" i="2" s="1"/>
  <c r="I308" i="2" a="1"/>
  <c r="I308" i="2" s="1"/>
  <c r="H308" i="2"/>
  <c r="E308" i="2"/>
  <c r="B308" i="2"/>
  <c r="J307" i="2" a="1"/>
  <c r="J307" i="2" s="1"/>
  <c r="I307" i="2" a="1"/>
  <c r="I307" i="2" s="1"/>
  <c r="H307" i="2"/>
  <c r="E307" i="2"/>
  <c r="B307" i="2"/>
  <c r="J306" i="2" a="1"/>
  <c r="J306" i="2" s="1"/>
  <c r="I306" i="2" a="1"/>
  <c r="I306" i="2" s="1"/>
  <c r="H306" i="2"/>
  <c r="E306" i="2"/>
  <c r="B306" i="2"/>
  <c r="J305" i="2" a="1"/>
  <c r="J305" i="2" s="1"/>
  <c r="I305" i="2" a="1"/>
  <c r="I305" i="2" s="1"/>
  <c r="H305" i="2"/>
  <c r="E305" i="2"/>
  <c r="B305" i="2"/>
  <c r="J304" i="2" a="1"/>
  <c r="J304" i="2" s="1"/>
  <c r="I304" i="2" a="1"/>
  <c r="I304" i="2" s="1"/>
  <c r="H304" i="2"/>
  <c r="E304" i="2"/>
  <c r="B304" i="2"/>
  <c r="J303" i="2" a="1"/>
  <c r="J303" i="2" s="1"/>
  <c r="I303" i="2" a="1"/>
  <c r="I303" i="2" s="1"/>
  <c r="H303" i="2"/>
  <c r="E303" i="2"/>
  <c r="B303" i="2"/>
  <c r="J302" i="2" a="1"/>
  <c r="J302" i="2" s="1"/>
  <c r="I302" i="2" a="1"/>
  <c r="I302" i="2" s="1"/>
  <c r="H302" i="2"/>
  <c r="E302" i="2"/>
  <c r="B302" i="2"/>
  <c r="J301" i="2" a="1"/>
  <c r="J301" i="2" s="1"/>
  <c r="I301" i="2" a="1"/>
  <c r="I301" i="2" s="1"/>
  <c r="H301" i="2"/>
  <c r="E301" i="2"/>
  <c r="B301" i="2"/>
  <c r="J300" i="2" a="1"/>
  <c r="J300" i="2" s="1"/>
  <c r="I300" i="2" a="1"/>
  <c r="I300" i="2" s="1"/>
  <c r="H300" i="2"/>
  <c r="E300" i="2"/>
  <c r="B300" i="2"/>
  <c r="J299" i="2" a="1"/>
  <c r="J299" i="2" s="1"/>
  <c r="I299" i="2" a="1"/>
  <c r="I299" i="2" s="1"/>
  <c r="H299" i="2"/>
  <c r="E299" i="2"/>
  <c r="B299" i="2"/>
  <c r="J298" i="2" a="1"/>
  <c r="J298" i="2" s="1"/>
  <c r="I298" i="2" a="1"/>
  <c r="I298" i="2" s="1"/>
  <c r="H298" i="2"/>
  <c r="E298" i="2"/>
  <c r="B298" i="2"/>
  <c r="J297" i="2" a="1"/>
  <c r="J297" i="2" s="1"/>
  <c r="I297" i="2" a="1"/>
  <c r="I297" i="2" s="1"/>
  <c r="H297" i="2"/>
  <c r="E297" i="2"/>
  <c r="B297" i="2"/>
  <c r="J296" i="2" a="1"/>
  <c r="J296" i="2" s="1"/>
  <c r="I296" i="2" a="1"/>
  <c r="I296" i="2" s="1"/>
  <c r="H296" i="2"/>
  <c r="E296" i="2"/>
  <c r="B296" i="2"/>
  <c r="J295" i="2" a="1"/>
  <c r="J295" i="2" s="1"/>
  <c r="I295" i="2" a="1"/>
  <c r="I295" i="2"/>
  <c r="H295" i="2"/>
  <c r="E295" i="2"/>
  <c r="B295" i="2"/>
  <c r="J294" i="2" a="1"/>
  <c r="J294" i="2" s="1"/>
  <c r="I294" i="2" a="1"/>
  <c r="I294" i="2" s="1"/>
  <c r="H294" i="2"/>
  <c r="E294" i="2"/>
  <c r="B294" i="2"/>
  <c r="J293" i="2" a="1"/>
  <c r="J293" i="2" s="1"/>
  <c r="I293" i="2" a="1"/>
  <c r="I293" i="2"/>
  <c r="H293" i="2"/>
  <c r="E293" i="2"/>
  <c r="B293" i="2"/>
  <c r="J292" i="2" a="1"/>
  <c r="J292" i="2" s="1"/>
  <c r="I292" i="2" a="1"/>
  <c r="I292" i="2" s="1"/>
  <c r="H292" i="2"/>
  <c r="E292" i="2"/>
  <c r="B292" i="2"/>
  <c r="J291" i="2" a="1"/>
  <c r="J291" i="2" s="1"/>
  <c r="I291" i="2" a="1"/>
  <c r="I291" i="2" s="1"/>
  <c r="H291" i="2"/>
  <c r="E291" i="2"/>
  <c r="B291" i="2"/>
  <c r="J290" i="2" a="1"/>
  <c r="J290" i="2" s="1"/>
  <c r="I290" i="2" a="1"/>
  <c r="I290" i="2" s="1"/>
  <c r="H290" i="2"/>
  <c r="E290" i="2"/>
  <c r="B290" i="2"/>
  <c r="J289" i="2" a="1"/>
  <c r="J289" i="2" s="1"/>
  <c r="I289" i="2" a="1"/>
  <c r="I289" i="2" s="1"/>
  <c r="H289" i="2"/>
  <c r="E289" i="2"/>
  <c r="B289" i="2"/>
  <c r="J288" i="2" a="1"/>
  <c r="J288" i="2" s="1"/>
  <c r="I288" i="2" a="1"/>
  <c r="I288" i="2" s="1"/>
  <c r="H288" i="2"/>
  <c r="E288" i="2"/>
  <c r="B288" i="2"/>
  <c r="J287" i="2" a="1"/>
  <c r="J287" i="2" s="1"/>
  <c r="I287" i="2" a="1"/>
  <c r="I287" i="2" s="1"/>
  <c r="H287" i="2"/>
  <c r="E287" i="2"/>
  <c r="B287" i="2"/>
  <c r="J286" i="2" a="1"/>
  <c r="J286" i="2" s="1"/>
  <c r="I286" i="2" a="1"/>
  <c r="I286" i="2" s="1"/>
  <c r="H286" i="2"/>
  <c r="E286" i="2"/>
  <c r="B286" i="2"/>
  <c r="J285" i="2" a="1"/>
  <c r="J285" i="2" s="1"/>
  <c r="I285" i="2" a="1"/>
  <c r="I285" i="2" s="1"/>
  <c r="H285" i="2"/>
  <c r="E285" i="2"/>
  <c r="B285" i="2"/>
  <c r="J284" i="2" a="1"/>
  <c r="J284" i="2" s="1"/>
  <c r="I284" i="2" a="1"/>
  <c r="I284" i="2" s="1"/>
  <c r="H284" i="2"/>
  <c r="E284" i="2"/>
  <c r="B284" i="2"/>
  <c r="J283" i="2" a="1"/>
  <c r="J283" i="2" s="1"/>
  <c r="I283" i="2" a="1"/>
  <c r="I283" i="2" s="1"/>
  <c r="H283" i="2"/>
  <c r="E283" i="2"/>
  <c r="B283" i="2"/>
  <c r="J282" i="2" a="1"/>
  <c r="J282" i="2" s="1"/>
  <c r="I282" i="2" a="1"/>
  <c r="I282" i="2" s="1"/>
  <c r="H282" i="2"/>
  <c r="E282" i="2"/>
  <c r="B282" i="2"/>
  <c r="J281" i="2" a="1"/>
  <c r="J281" i="2" s="1"/>
  <c r="I281" i="2" a="1"/>
  <c r="I281" i="2" s="1"/>
  <c r="H281" i="2"/>
  <c r="E281" i="2"/>
  <c r="B281" i="2"/>
  <c r="J280" i="2" a="1"/>
  <c r="J280" i="2" s="1"/>
  <c r="I280" i="2" a="1"/>
  <c r="I280" i="2"/>
  <c r="H280" i="2"/>
  <c r="E280" i="2"/>
  <c r="B280" i="2"/>
  <c r="J279" i="2" a="1"/>
  <c r="J279" i="2" s="1"/>
  <c r="I279" i="2" a="1"/>
  <c r="I279" i="2" s="1"/>
  <c r="H279" i="2"/>
  <c r="E279" i="2"/>
  <c r="B279" i="2"/>
  <c r="J278" i="2" a="1"/>
  <c r="J278" i="2" s="1"/>
  <c r="I278" i="2" a="1"/>
  <c r="I278" i="2" s="1"/>
  <c r="H278" i="2"/>
  <c r="E278" i="2"/>
  <c r="B278" i="2"/>
  <c r="J277" i="2" a="1"/>
  <c r="J277" i="2" s="1"/>
  <c r="I277" i="2" a="1"/>
  <c r="I277" i="2" s="1"/>
  <c r="H277" i="2"/>
  <c r="E277" i="2"/>
  <c r="B277" i="2"/>
  <c r="J276" i="2" a="1"/>
  <c r="J276" i="2" s="1"/>
  <c r="I276" i="2" a="1"/>
  <c r="I276" i="2" s="1"/>
  <c r="H276" i="2"/>
  <c r="E276" i="2"/>
  <c r="B276" i="2"/>
  <c r="J275" i="2" a="1"/>
  <c r="J275" i="2" s="1"/>
  <c r="I275" i="2" a="1"/>
  <c r="I275" i="2" s="1"/>
  <c r="H275" i="2"/>
  <c r="E275" i="2"/>
  <c r="B275" i="2"/>
  <c r="J274" i="2" a="1"/>
  <c r="J274" i="2" s="1"/>
  <c r="I274" i="2" a="1"/>
  <c r="I274" i="2" s="1"/>
  <c r="H274" i="2"/>
  <c r="E274" i="2"/>
  <c r="B274" i="2"/>
  <c r="J273" i="2" a="1"/>
  <c r="J273" i="2" s="1"/>
  <c r="I273" i="2" a="1"/>
  <c r="I273" i="2" s="1"/>
  <c r="H273" i="2"/>
  <c r="E273" i="2"/>
  <c r="B273" i="2"/>
  <c r="J272" i="2" a="1"/>
  <c r="J272" i="2" s="1"/>
  <c r="I272" i="2" a="1"/>
  <c r="I272" i="2" s="1"/>
  <c r="H272" i="2"/>
  <c r="E272" i="2"/>
  <c r="B272" i="2"/>
  <c r="J271" i="2" a="1"/>
  <c r="J271" i="2" s="1"/>
  <c r="I271" i="2" a="1"/>
  <c r="I271" i="2" s="1"/>
  <c r="H271" i="2"/>
  <c r="E271" i="2"/>
  <c r="B271" i="2"/>
  <c r="J270" i="2" a="1"/>
  <c r="J270" i="2" s="1"/>
  <c r="I270" i="2" a="1"/>
  <c r="I270" i="2" s="1"/>
  <c r="H270" i="2"/>
  <c r="E270" i="2"/>
  <c r="B270" i="2"/>
  <c r="J269" i="2" a="1"/>
  <c r="J269" i="2" s="1"/>
  <c r="I269" i="2" a="1"/>
  <c r="I269" i="2" s="1"/>
  <c r="H269" i="2"/>
  <c r="E269" i="2"/>
  <c r="B269" i="2"/>
  <c r="J268" i="2" a="1"/>
  <c r="J268" i="2" s="1"/>
  <c r="I268" i="2" a="1"/>
  <c r="I268" i="2" s="1"/>
  <c r="H268" i="2"/>
  <c r="E268" i="2"/>
  <c r="B268" i="2"/>
  <c r="J267" i="2" a="1"/>
  <c r="J267" i="2" s="1"/>
  <c r="I267" i="2" a="1"/>
  <c r="I267" i="2" s="1"/>
  <c r="H267" i="2"/>
  <c r="E267" i="2"/>
  <c r="B267" i="2"/>
  <c r="J266" i="2" a="1"/>
  <c r="J266" i="2" s="1"/>
  <c r="I266" i="2" a="1"/>
  <c r="I266" i="2"/>
  <c r="H266" i="2"/>
  <c r="E266" i="2"/>
  <c r="B266" i="2"/>
  <c r="J265" i="2" a="1"/>
  <c r="J265" i="2" s="1"/>
  <c r="I265" i="2" a="1"/>
  <c r="I265" i="2" s="1"/>
  <c r="H265" i="2"/>
  <c r="E265" i="2"/>
  <c r="B265" i="2"/>
  <c r="J264" i="2" a="1"/>
  <c r="J264" i="2" s="1"/>
  <c r="I264" i="2" a="1"/>
  <c r="I264" i="2" s="1"/>
  <c r="H264" i="2"/>
  <c r="E264" i="2"/>
  <c r="B264" i="2"/>
  <c r="J263" i="2" a="1"/>
  <c r="J263" i="2" s="1"/>
  <c r="I263" i="2" a="1"/>
  <c r="I263" i="2" s="1"/>
  <c r="H263" i="2"/>
  <c r="E263" i="2"/>
  <c r="B263" i="2"/>
  <c r="J262" i="2" a="1"/>
  <c r="J262" i="2" s="1"/>
  <c r="I262" i="2" a="1"/>
  <c r="I262" i="2" s="1"/>
  <c r="H262" i="2"/>
  <c r="E262" i="2"/>
  <c r="B262" i="2"/>
  <c r="J261" i="2" a="1"/>
  <c r="J261" i="2" s="1"/>
  <c r="I261" i="2" a="1"/>
  <c r="I261" i="2" s="1"/>
  <c r="H261" i="2"/>
  <c r="E261" i="2"/>
  <c r="B261" i="2"/>
  <c r="J260" i="2" a="1"/>
  <c r="J260" i="2" s="1"/>
  <c r="I260" i="2" a="1"/>
  <c r="I260" i="2" s="1"/>
  <c r="H260" i="2"/>
  <c r="E260" i="2"/>
  <c r="B260" i="2"/>
  <c r="J259" i="2" a="1"/>
  <c r="J259" i="2" s="1"/>
  <c r="I259" i="2" a="1"/>
  <c r="I259" i="2" s="1"/>
  <c r="H259" i="2"/>
  <c r="E259" i="2"/>
  <c r="B259" i="2"/>
  <c r="J258" i="2" a="1"/>
  <c r="J258" i="2" s="1"/>
  <c r="I258" i="2" a="1"/>
  <c r="I258" i="2" s="1"/>
  <c r="H258" i="2"/>
  <c r="E258" i="2"/>
  <c r="B258" i="2"/>
  <c r="J257" i="2" a="1"/>
  <c r="J257" i="2" s="1"/>
  <c r="I257" i="2" a="1"/>
  <c r="I257" i="2" s="1"/>
  <c r="H257" i="2"/>
  <c r="E257" i="2"/>
  <c r="B257" i="2"/>
  <c r="J256" i="2" a="1"/>
  <c r="J256" i="2" s="1"/>
  <c r="I256" i="2" a="1"/>
  <c r="I256" i="2" s="1"/>
  <c r="H256" i="2"/>
  <c r="E256" i="2"/>
  <c r="B256" i="2"/>
  <c r="J255" i="2" a="1"/>
  <c r="J255" i="2" s="1"/>
  <c r="I255" i="2" a="1"/>
  <c r="I255" i="2" s="1"/>
  <c r="H255" i="2"/>
  <c r="E255" i="2"/>
  <c r="B255" i="2"/>
  <c r="J254" i="2" a="1"/>
  <c r="J254" i="2" s="1"/>
  <c r="I254" i="2" a="1"/>
  <c r="I254" i="2" s="1"/>
  <c r="H254" i="2"/>
  <c r="E254" i="2"/>
  <c r="B254" i="2"/>
  <c r="J253" i="2" a="1"/>
  <c r="J253" i="2" s="1"/>
  <c r="I253" i="2" a="1"/>
  <c r="I253" i="2"/>
  <c r="H253" i="2"/>
  <c r="E253" i="2"/>
  <c r="B253" i="2"/>
  <c r="J252" i="2" a="1"/>
  <c r="J252" i="2" s="1"/>
  <c r="I252" i="2" a="1"/>
  <c r="I252" i="2" s="1"/>
  <c r="H252" i="2"/>
  <c r="E252" i="2"/>
  <c r="B252" i="2"/>
  <c r="J251" i="2" a="1"/>
  <c r="J251" i="2" s="1"/>
  <c r="I251" i="2" a="1"/>
  <c r="I251" i="2"/>
  <c r="H251" i="2"/>
  <c r="E251" i="2"/>
  <c r="B251" i="2"/>
  <c r="J250" i="2" a="1"/>
  <c r="J250" i="2" s="1"/>
  <c r="I250" i="2" a="1"/>
  <c r="I250" i="2" s="1"/>
  <c r="H250" i="2"/>
  <c r="E250" i="2"/>
  <c r="B250" i="2"/>
  <c r="J249" i="2" a="1"/>
  <c r="J249" i="2"/>
  <c r="I249" i="2" a="1"/>
  <c r="I249" i="2" s="1"/>
  <c r="H249" i="2"/>
  <c r="E249" i="2"/>
  <c r="B249" i="2"/>
  <c r="J248" i="2" a="1"/>
  <c r="J248" i="2" s="1"/>
  <c r="I248" i="2" a="1"/>
  <c r="I248" i="2" s="1"/>
  <c r="H248" i="2"/>
  <c r="E248" i="2"/>
  <c r="B248" i="2"/>
  <c r="J247" i="2" a="1"/>
  <c r="J247" i="2" s="1"/>
  <c r="I247" i="2" a="1"/>
  <c r="I247" i="2" s="1"/>
  <c r="H247" i="2"/>
  <c r="E247" i="2"/>
  <c r="B247" i="2"/>
  <c r="J246" i="2" a="1"/>
  <c r="J246" i="2" s="1"/>
  <c r="I246" i="2" a="1"/>
  <c r="I246" i="2" s="1"/>
  <c r="H246" i="2"/>
  <c r="E246" i="2"/>
  <c r="B246" i="2"/>
  <c r="J245" i="2" a="1"/>
  <c r="J245" i="2" s="1"/>
  <c r="I245" i="2" a="1"/>
  <c r="I245" i="2" s="1"/>
  <c r="H245" i="2"/>
  <c r="E245" i="2"/>
  <c r="B245" i="2"/>
  <c r="J244" i="2" a="1"/>
  <c r="J244" i="2" s="1"/>
  <c r="I244" i="2" a="1"/>
  <c r="I244" i="2" s="1"/>
  <c r="H244" i="2"/>
  <c r="E244" i="2"/>
  <c r="B244" i="2"/>
  <c r="J243" i="2" a="1"/>
  <c r="J243" i="2" s="1"/>
  <c r="I243" i="2" a="1"/>
  <c r="I243" i="2" s="1"/>
  <c r="H243" i="2"/>
  <c r="E243" i="2"/>
  <c r="B243" i="2"/>
  <c r="J242" i="2" a="1"/>
  <c r="J242" i="2" s="1"/>
  <c r="I242" i="2" a="1"/>
  <c r="I242" i="2" s="1"/>
  <c r="H242" i="2"/>
  <c r="E242" i="2"/>
  <c r="B242" i="2"/>
  <c r="J241" i="2" a="1"/>
  <c r="J241" i="2" s="1"/>
  <c r="I241" i="2" a="1"/>
  <c r="I241" i="2" s="1"/>
  <c r="H241" i="2"/>
  <c r="E241" i="2"/>
  <c r="B241" i="2"/>
  <c r="J240" i="2" a="1"/>
  <c r="J240" i="2" s="1"/>
  <c r="I240" i="2" a="1"/>
  <c r="I240" i="2" s="1"/>
  <c r="H240" i="2"/>
  <c r="E240" i="2"/>
  <c r="B240" i="2"/>
  <c r="J239" i="2" a="1"/>
  <c r="J239" i="2" s="1"/>
  <c r="I239" i="2" a="1"/>
  <c r="I239" i="2" s="1"/>
  <c r="H239" i="2"/>
  <c r="E239" i="2"/>
  <c r="B239" i="2"/>
  <c r="J238" i="2" a="1"/>
  <c r="J238" i="2" s="1"/>
  <c r="I238" i="2" a="1"/>
  <c r="I238" i="2" s="1"/>
  <c r="H238" i="2"/>
  <c r="E238" i="2"/>
  <c r="B238" i="2"/>
  <c r="J237" i="2" a="1"/>
  <c r="J237" i="2" s="1"/>
  <c r="I237" i="2" a="1"/>
  <c r="I237" i="2" s="1"/>
  <c r="H237" i="2"/>
  <c r="E237" i="2"/>
  <c r="B237" i="2"/>
  <c r="J236" i="2" a="1"/>
  <c r="J236" i="2" s="1"/>
  <c r="I236" i="2" a="1"/>
  <c r="I236" i="2" s="1"/>
  <c r="H236" i="2"/>
  <c r="E236" i="2"/>
  <c r="B236" i="2"/>
  <c r="J235" i="2" a="1"/>
  <c r="J235" i="2" s="1"/>
  <c r="I235" i="2" a="1"/>
  <c r="I235" i="2"/>
  <c r="H235" i="2"/>
  <c r="E235" i="2"/>
  <c r="B235" i="2"/>
  <c r="J234" i="2" a="1"/>
  <c r="J234" i="2" s="1"/>
  <c r="I234" i="2" a="1"/>
  <c r="I234" i="2" s="1"/>
  <c r="H234" i="2"/>
  <c r="E234" i="2"/>
  <c r="B234" i="2"/>
  <c r="J233" i="2" a="1"/>
  <c r="J233" i="2" s="1"/>
  <c r="I233" i="2" a="1"/>
  <c r="I233" i="2" s="1"/>
  <c r="H233" i="2"/>
  <c r="E233" i="2"/>
  <c r="B233" i="2"/>
  <c r="J232" i="2" a="1"/>
  <c r="J232" i="2" s="1"/>
  <c r="I232" i="2" a="1"/>
  <c r="I232" i="2" s="1"/>
  <c r="H232" i="2"/>
  <c r="E232" i="2"/>
  <c r="B232" i="2"/>
  <c r="J231" i="2" a="1"/>
  <c r="J231" i="2" s="1"/>
  <c r="I231" i="2" a="1"/>
  <c r="I231" i="2" s="1"/>
  <c r="H231" i="2"/>
  <c r="E231" i="2"/>
  <c r="B231" i="2"/>
  <c r="J230" i="2" a="1"/>
  <c r="J230" i="2" s="1"/>
  <c r="I230" i="2" a="1"/>
  <c r="I230" i="2" s="1"/>
  <c r="H230" i="2"/>
  <c r="E230" i="2"/>
  <c r="B230" i="2"/>
  <c r="J229" i="2" a="1"/>
  <c r="J229" i="2"/>
  <c r="I229" i="2" a="1"/>
  <c r="I229" i="2" s="1"/>
  <c r="H229" i="2"/>
  <c r="E229" i="2"/>
  <c r="B229" i="2"/>
  <c r="J228" i="2" a="1"/>
  <c r="J228" i="2" s="1"/>
  <c r="I228" i="2" a="1"/>
  <c r="I228" i="2" s="1"/>
  <c r="H228" i="2"/>
  <c r="E228" i="2"/>
  <c r="B228" i="2"/>
  <c r="J227" i="2" a="1"/>
  <c r="J227" i="2" s="1"/>
  <c r="I227" i="2" a="1"/>
  <c r="I227" i="2" s="1"/>
  <c r="H227" i="2"/>
  <c r="E227" i="2"/>
  <c r="B227" i="2"/>
  <c r="J226" i="2" a="1"/>
  <c r="J226" i="2" s="1"/>
  <c r="I226" i="2" a="1"/>
  <c r="I226" i="2" s="1"/>
  <c r="H226" i="2"/>
  <c r="E226" i="2"/>
  <c r="B226" i="2"/>
  <c r="J225" i="2" a="1"/>
  <c r="J225" i="2" s="1"/>
  <c r="I225" i="2" a="1"/>
  <c r="I225" i="2" s="1"/>
  <c r="H225" i="2"/>
  <c r="E225" i="2"/>
  <c r="B225" i="2"/>
  <c r="J224" i="2" a="1"/>
  <c r="J224" i="2" s="1"/>
  <c r="I224" i="2" a="1"/>
  <c r="I224" i="2" s="1"/>
  <c r="H224" i="2"/>
  <c r="E224" i="2"/>
  <c r="B224" i="2"/>
  <c r="J223" i="2" a="1"/>
  <c r="J223" i="2" s="1"/>
  <c r="I223" i="2" a="1"/>
  <c r="I223" i="2" s="1"/>
  <c r="H223" i="2"/>
  <c r="E223" i="2"/>
  <c r="B223" i="2"/>
  <c r="J222" i="2" a="1"/>
  <c r="J222" i="2" s="1"/>
  <c r="I222" i="2" a="1"/>
  <c r="I222" i="2" s="1"/>
  <c r="H222" i="2"/>
  <c r="E222" i="2"/>
  <c r="B222" i="2"/>
  <c r="J221" i="2" a="1"/>
  <c r="J221" i="2" s="1"/>
  <c r="I221" i="2" a="1"/>
  <c r="I221" i="2" s="1"/>
  <c r="H221" i="2"/>
  <c r="E221" i="2"/>
  <c r="B221" i="2"/>
  <c r="J220" i="2" a="1"/>
  <c r="J220" i="2" s="1"/>
  <c r="I220" i="2" a="1"/>
  <c r="I220" i="2" s="1"/>
  <c r="H220" i="2"/>
  <c r="E220" i="2"/>
  <c r="B220" i="2"/>
  <c r="J219" i="2" a="1"/>
  <c r="J219" i="2" s="1"/>
  <c r="I219" i="2" a="1"/>
  <c r="I219" i="2" s="1"/>
  <c r="H219" i="2"/>
  <c r="E219" i="2"/>
  <c r="B219" i="2"/>
  <c r="J218" i="2" a="1"/>
  <c r="J218" i="2" s="1"/>
  <c r="I218" i="2" a="1"/>
  <c r="I218" i="2" s="1"/>
  <c r="H218" i="2"/>
  <c r="E218" i="2"/>
  <c r="B218" i="2"/>
  <c r="J217" i="2" a="1"/>
  <c r="J217" i="2" s="1"/>
  <c r="I217" i="2" a="1"/>
  <c r="I217" i="2" s="1"/>
  <c r="H217" i="2"/>
  <c r="E217" i="2"/>
  <c r="B217" i="2"/>
  <c r="J216" i="2" a="1"/>
  <c r="J216" i="2" s="1"/>
  <c r="I216" i="2" a="1"/>
  <c r="I216" i="2" s="1"/>
  <c r="H216" i="2"/>
  <c r="E216" i="2"/>
  <c r="B216" i="2"/>
  <c r="J215" i="2" a="1"/>
  <c r="J215" i="2" s="1"/>
  <c r="I215" i="2" a="1"/>
  <c r="I215" i="2" s="1"/>
  <c r="H215" i="2"/>
  <c r="E215" i="2"/>
  <c r="B215" i="2"/>
  <c r="J214" i="2" a="1"/>
  <c r="J214" i="2" s="1"/>
  <c r="I214" i="2" a="1"/>
  <c r="I214" i="2" s="1"/>
  <c r="H214" i="2"/>
  <c r="E214" i="2"/>
  <c r="B214" i="2"/>
  <c r="J213" i="2" a="1"/>
  <c r="J213" i="2" s="1"/>
  <c r="I213" i="2" a="1"/>
  <c r="I213" i="2" s="1"/>
  <c r="H213" i="2"/>
  <c r="E213" i="2"/>
  <c r="B213" i="2"/>
  <c r="J212" i="2" a="1"/>
  <c r="J212" i="2" s="1"/>
  <c r="I212" i="2" a="1"/>
  <c r="I212" i="2" s="1"/>
  <c r="H212" i="2"/>
  <c r="E212" i="2"/>
  <c r="B212" i="2"/>
  <c r="J211" i="2" a="1"/>
  <c r="J211" i="2" s="1"/>
  <c r="I211" i="2" a="1"/>
  <c r="I211" i="2" s="1"/>
  <c r="H211" i="2"/>
  <c r="E211" i="2"/>
  <c r="B211" i="2"/>
  <c r="J210" i="2" a="1"/>
  <c r="J210" i="2"/>
  <c r="I210" i="2" a="1"/>
  <c r="I210" i="2" s="1"/>
  <c r="H210" i="2"/>
  <c r="E210" i="2"/>
  <c r="B210" i="2"/>
  <c r="J209" i="2" a="1"/>
  <c r="J209" i="2" s="1"/>
  <c r="I209" i="2" a="1"/>
  <c r="I209" i="2" s="1"/>
  <c r="H209" i="2"/>
  <c r="E209" i="2"/>
  <c r="B209" i="2"/>
  <c r="J208" i="2" a="1"/>
  <c r="J208" i="2" s="1"/>
  <c r="I208" i="2" a="1"/>
  <c r="I208" i="2" s="1"/>
  <c r="H208" i="2"/>
  <c r="E208" i="2"/>
  <c r="B208" i="2"/>
  <c r="J207" i="2" a="1"/>
  <c r="J207" i="2" s="1"/>
  <c r="I207" i="2" a="1"/>
  <c r="I207" i="2" s="1"/>
  <c r="H207" i="2"/>
  <c r="E207" i="2"/>
  <c r="B207" i="2"/>
  <c r="J206" i="2" a="1"/>
  <c r="J206" i="2" s="1"/>
  <c r="I206" i="2" a="1"/>
  <c r="I206" i="2" s="1"/>
  <c r="H206" i="2"/>
  <c r="E206" i="2"/>
  <c r="B206" i="2"/>
  <c r="J205" i="2" a="1"/>
  <c r="J205" i="2" s="1"/>
  <c r="I205" i="2" a="1"/>
  <c r="I205" i="2"/>
  <c r="H205" i="2"/>
  <c r="E205" i="2"/>
  <c r="B205" i="2"/>
  <c r="J204" i="2" a="1"/>
  <c r="J204" i="2" s="1"/>
  <c r="I204" i="2" a="1"/>
  <c r="I204" i="2" s="1"/>
  <c r="H204" i="2"/>
  <c r="E204" i="2"/>
  <c r="B204" i="2"/>
  <c r="J203" i="2" a="1"/>
  <c r="J203" i="2" s="1"/>
  <c r="I203" i="2" a="1"/>
  <c r="I203" i="2" s="1"/>
  <c r="H203" i="2"/>
  <c r="E203" i="2"/>
  <c r="B203" i="2"/>
  <c r="J202" i="2" a="1"/>
  <c r="J202" i="2" s="1"/>
  <c r="I202" i="2" a="1"/>
  <c r="I202" i="2" s="1"/>
  <c r="H202" i="2"/>
  <c r="E202" i="2"/>
  <c r="B202" i="2"/>
  <c r="J201" i="2" a="1"/>
  <c r="J201" i="2" s="1"/>
  <c r="I201" i="2" a="1"/>
  <c r="I201" i="2" s="1"/>
  <c r="H201" i="2"/>
  <c r="E201" i="2"/>
  <c r="B201" i="2"/>
  <c r="J200" i="2" a="1"/>
  <c r="J200" i="2" s="1"/>
  <c r="I200" i="2" a="1"/>
  <c r="I200" i="2" s="1"/>
  <c r="H200" i="2"/>
  <c r="E200" i="2"/>
  <c r="B200" i="2"/>
  <c r="J199" i="2" a="1"/>
  <c r="J199" i="2" s="1"/>
  <c r="I199" i="2" a="1"/>
  <c r="I199" i="2" s="1"/>
  <c r="H199" i="2"/>
  <c r="E199" i="2"/>
  <c r="B199" i="2"/>
  <c r="J198" i="2" a="1"/>
  <c r="J198" i="2" s="1"/>
  <c r="I198" i="2" a="1"/>
  <c r="I198" i="2" s="1"/>
  <c r="H198" i="2"/>
  <c r="E198" i="2"/>
  <c r="B198" i="2"/>
  <c r="J197" i="2" a="1"/>
  <c r="J197" i="2" s="1"/>
  <c r="I197" i="2" a="1"/>
  <c r="I197" i="2" s="1"/>
  <c r="H197" i="2"/>
  <c r="E197" i="2"/>
  <c r="B197" i="2"/>
  <c r="J196" i="2" a="1"/>
  <c r="J196" i="2" s="1"/>
  <c r="I196" i="2" a="1"/>
  <c r="I196" i="2" s="1"/>
  <c r="H196" i="2"/>
  <c r="E196" i="2"/>
  <c r="B196" i="2"/>
  <c r="J195" i="2" a="1"/>
  <c r="J195" i="2" s="1"/>
  <c r="I195" i="2" a="1"/>
  <c r="I195" i="2" s="1"/>
  <c r="H195" i="2"/>
  <c r="E195" i="2"/>
  <c r="B195" i="2"/>
  <c r="J194" i="2" a="1"/>
  <c r="J194" i="2" s="1"/>
  <c r="I194" i="2" a="1"/>
  <c r="I194" i="2" s="1"/>
  <c r="H194" i="2"/>
  <c r="E194" i="2"/>
  <c r="B194" i="2"/>
  <c r="J193" i="2" a="1"/>
  <c r="J193" i="2" s="1"/>
  <c r="I193" i="2" a="1"/>
  <c r="I193" i="2" s="1"/>
  <c r="H193" i="2"/>
  <c r="E193" i="2"/>
  <c r="B193" i="2"/>
  <c r="J192" i="2" a="1"/>
  <c r="J192" i="2" s="1"/>
  <c r="I192" i="2" a="1"/>
  <c r="I192" i="2" s="1"/>
  <c r="H192" i="2"/>
  <c r="E192" i="2"/>
  <c r="B192" i="2"/>
  <c r="J191" i="2" a="1"/>
  <c r="J191" i="2" s="1"/>
  <c r="I191" i="2" a="1"/>
  <c r="I191" i="2" s="1"/>
  <c r="H191" i="2"/>
  <c r="E191" i="2"/>
  <c r="B191" i="2"/>
  <c r="J190" i="2" a="1"/>
  <c r="J190" i="2" s="1"/>
  <c r="I190" i="2" a="1"/>
  <c r="I190" i="2" s="1"/>
  <c r="H190" i="2"/>
  <c r="E190" i="2"/>
  <c r="B190" i="2"/>
  <c r="J189" i="2" a="1"/>
  <c r="J189" i="2" s="1"/>
  <c r="I189" i="2" a="1"/>
  <c r="I189" i="2" s="1"/>
  <c r="H189" i="2"/>
  <c r="E189" i="2"/>
  <c r="B189" i="2"/>
  <c r="J188" i="2" a="1"/>
  <c r="J188" i="2" s="1"/>
  <c r="I188" i="2" a="1"/>
  <c r="I188" i="2" s="1"/>
  <c r="H188" i="2"/>
  <c r="E188" i="2"/>
  <c r="B188" i="2"/>
  <c r="J187" i="2" a="1"/>
  <c r="J187" i="2" s="1"/>
  <c r="I187" i="2" a="1"/>
  <c r="I187" i="2" s="1"/>
  <c r="H187" i="2"/>
  <c r="E187" i="2"/>
  <c r="B187" i="2"/>
  <c r="J186" i="2" a="1"/>
  <c r="J186" i="2" s="1"/>
  <c r="I186" i="2" a="1"/>
  <c r="I186" i="2"/>
  <c r="H186" i="2"/>
  <c r="E186" i="2"/>
  <c r="B186" i="2"/>
  <c r="J185" i="2" a="1"/>
  <c r="J185" i="2" s="1"/>
  <c r="I185" i="2" a="1"/>
  <c r="I185" i="2" s="1"/>
  <c r="H185" i="2"/>
  <c r="E185" i="2"/>
  <c r="B185" i="2"/>
  <c r="J184" i="2" a="1"/>
  <c r="J184" i="2" s="1"/>
  <c r="I184" i="2" a="1"/>
  <c r="I184" i="2" s="1"/>
  <c r="H184" i="2"/>
  <c r="E184" i="2"/>
  <c r="B184" i="2"/>
  <c r="J183" i="2" a="1"/>
  <c r="J183" i="2" s="1"/>
  <c r="I183" i="2" a="1"/>
  <c r="I183" i="2" s="1"/>
  <c r="H183" i="2"/>
  <c r="E183" i="2"/>
  <c r="B183" i="2"/>
  <c r="J182" i="2" a="1"/>
  <c r="J182" i="2" s="1"/>
  <c r="I182" i="2" a="1"/>
  <c r="I182" i="2" s="1"/>
  <c r="H182" i="2"/>
  <c r="E182" i="2"/>
  <c r="B182" i="2"/>
  <c r="J181" i="2" a="1"/>
  <c r="J181" i="2" s="1"/>
  <c r="I181" i="2" a="1"/>
  <c r="I181" i="2" s="1"/>
  <c r="H181" i="2"/>
  <c r="E181" i="2"/>
  <c r="B181" i="2"/>
  <c r="J180" i="2" a="1"/>
  <c r="J180" i="2" s="1"/>
  <c r="I180" i="2" a="1"/>
  <c r="I180" i="2" s="1"/>
  <c r="H180" i="2"/>
  <c r="E180" i="2"/>
  <c r="B180" i="2"/>
  <c r="J179" i="2" a="1"/>
  <c r="J179" i="2" s="1"/>
  <c r="I179" i="2" a="1"/>
  <c r="I179" i="2" s="1"/>
  <c r="H179" i="2"/>
  <c r="E179" i="2"/>
  <c r="B179" i="2"/>
  <c r="J178" i="2" a="1"/>
  <c r="J178" i="2" s="1"/>
  <c r="I178" i="2" a="1"/>
  <c r="I178" i="2" s="1"/>
  <c r="H178" i="2"/>
  <c r="E178" i="2"/>
  <c r="B178" i="2"/>
  <c r="J177" i="2" a="1"/>
  <c r="J177" i="2" s="1"/>
  <c r="I177" i="2" a="1"/>
  <c r="I177" i="2" s="1"/>
  <c r="H177" i="2"/>
  <c r="E177" i="2"/>
  <c r="B177" i="2"/>
  <c r="J176" i="2" a="1"/>
  <c r="J176" i="2" s="1"/>
  <c r="I176" i="2" a="1"/>
  <c r="I176" i="2" s="1"/>
  <c r="H176" i="2"/>
  <c r="E176" i="2"/>
  <c r="B176" i="2"/>
  <c r="J175" i="2" a="1"/>
  <c r="J175" i="2" s="1"/>
  <c r="I175" i="2" a="1"/>
  <c r="I175" i="2" s="1"/>
  <c r="H175" i="2"/>
  <c r="E175" i="2"/>
  <c r="B175" i="2"/>
  <c r="J174" i="2" a="1"/>
  <c r="J174" i="2"/>
  <c r="I174" i="2" a="1"/>
  <c r="I174" i="2" s="1"/>
  <c r="H174" i="2"/>
  <c r="E174" i="2"/>
  <c r="B174" i="2"/>
  <c r="J173" i="2" a="1"/>
  <c r="J173" i="2" s="1"/>
  <c r="I173" i="2" a="1"/>
  <c r="I173" i="2" s="1"/>
  <c r="H173" i="2"/>
  <c r="E173" i="2"/>
  <c r="B173" i="2"/>
  <c r="J172" i="2" a="1"/>
  <c r="J172" i="2" s="1"/>
  <c r="I172" i="2" a="1"/>
  <c r="I172" i="2" s="1"/>
  <c r="H172" i="2"/>
  <c r="E172" i="2"/>
  <c r="B172" i="2"/>
  <c r="J171" i="2" a="1"/>
  <c r="J171" i="2" s="1"/>
  <c r="I171" i="2" a="1"/>
  <c r="I171" i="2" s="1"/>
  <c r="H171" i="2"/>
  <c r="E171" i="2"/>
  <c r="B171" i="2"/>
  <c r="J170" i="2" a="1"/>
  <c r="J170" i="2" s="1"/>
  <c r="I170" i="2" a="1"/>
  <c r="I170" i="2" s="1"/>
  <c r="H170" i="2"/>
  <c r="E170" i="2"/>
  <c r="B170" i="2"/>
  <c r="J169" i="2" a="1"/>
  <c r="J169" i="2" s="1"/>
  <c r="I169" i="2" a="1"/>
  <c r="I169" i="2" s="1"/>
  <c r="H169" i="2"/>
  <c r="E169" i="2"/>
  <c r="B169" i="2"/>
  <c r="J168" i="2" a="1"/>
  <c r="J168" i="2" s="1"/>
  <c r="I168" i="2" a="1"/>
  <c r="I168" i="2" s="1"/>
  <c r="H168" i="2"/>
  <c r="E168" i="2"/>
  <c r="B168" i="2"/>
  <c r="J167" i="2" a="1"/>
  <c r="J167" i="2" s="1"/>
  <c r="I167" i="2" a="1"/>
  <c r="I167" i="2" s="1"/>
  <c r="H167" i="2"/>
  <c r="E167" i="2"/>
  <c r="B167" i="2"/>
  <c r="J166" i="2" a="1"/>
  <c r="J166" i="2" s="1"/>
  <c r="I166" i="2" a="1"/>
  <c r="I166" i="2" s="1"/>
  <c r="H166" i="2"/>
  <c r="E166" i="2"/>
  <c r="B166" i="2"/>
  <c r="J165" i="2" a="1"/>
  <c r="J165" i="2" s="1"/>
  <c r="I165" i="2" a="1"/>
  <c r="I165" i="2" s="1"/>
  <c r="H165" i="2"/>
  <c r="E165" i="2"/>
  <c r="B165" i="2"/>
  <c r="J164" i="2" a="1"/>
  <c r="J164" i="2" s="1"/>
  <c r="I164" i="2" a="1"/>
  <c r="I164" i="2"/>
  <c r="H164" i="2"/>
  <c r="E164" i="2"/>
  <c r="B164" i="2"/>
  <c r="J163" i="2" a="1"/>
  <c r="J163" i="2" s="1"/>
  <c r="I163" i="2" a="1"/>
  <c r="I163" i="2" s="1"/>
  <c r="H163" i="2"/>
  <c r="E163" i="2"/>
  <c r="B163" i="2"/>
  <c r="J162" i="2" a="1"/>
  <c r="J162" i="2" s="1"/>
  <c r="I162" i="2" a="1"/>
  <c r="I162" i="2" s="1"/>
  <c r="H162" i="2"/>
  <c r="E162" i="2"/>
  <c r="B162" i="2"/>
  <c r="J161" i="2" a="1"/>
  <c r="J161" i="2" s="1"/>
  <c r="I161" i="2" a="1"/>
  <c r="I161" i="2" s="1"/>
  <c r="H161" i="2"/>
  <c r="E161" i="2"/>
  <c r="B161" i="2"/>
  <c r="J160" i="2" a="1"/>
  <c r="J160" i="2" s="1"/>
  <c r="I160" i="2" a="1"/>
  <c r="I160" i="2" s="1"/>
  <c r="H160" i="2"/>
  <c r="E160" i="2"/>
  <c r="B160" i="2"/>
  <c r="J159" i="2" a="1"/>
  <c r="J159" i="2" s="1"/>
  <c r="I159" i="2" a="1"/>
  <c r="I159" i="2" s="1"/>
  <c r="H159" i="2"/>
  <c r="E159" i="2"/>
  <c r="B159" i="2"/>
  <c r="J158" i="2" a="1"/>
  <c r="J158" i="2" s="1"/>
  <c r="I158" i="2" a="1"/>
  <c r="I158" i="2" s="1"/>
  <c r="H158" i="2"/>
  <c r="E158" i="2"/>
  <c r="B158" i="2"/>
  <c r="J157" i="2" a="1"/>
  <c r="J157" i="2"/>
  <c r="I157" i="2" a="1"/>
  <c r="I157" i="2" s="1"/>
  <c r="H157" i="2"/>
  <c r="E157" i="2"/>
  <c r="B157" i="2"/>
  <c r="J156" i="2" a="1"/>
  <c r="J156" i="2" s="1"/>
  <c r="I156" i="2" a="1"/>
  <c r="I156" i="2" s="1"/>
  <c r="H156" i="2"/>
  <c r="E156" i="2"/>
  <c r="B156" i="2"/>
  <c r="J155" i="2" a="1"/>
  <c r="J155" i="2" s="1"/>
  <c r="I155" i="2" a="1"/>
  <c r="I155" i="2" s="1"/>
  <c r="H155" i="2"/>
  <c r="E155" i="2"/>
  <c r="B155" i="2"/>
  <c r="J154" i="2" a="1"/>
  <c r="J154" i="2" s="1"/>
  <c r="I154" i="2" a="1"/>
  <c r="I154" i="2" s="1"/>
  <c r="H154" i="2"/>
  <c r="E154" i="2"/>
  <c r="B154" i="2"/>
  <c r="J153" i="2" a="1"/>
  <c r="J153" i="2" s="1"/>
  <c r="I153" i="2" a="1"/>
  <c r="I153" i="2" s="1"/>
  <c r="H153" i="2"/>
  <c r="E153" i="2"/>
  <c r="B153" i="2"/>
  <c r="J152" i="2" a="1"/>
  <c r="J152" i="2" s="1"/>
  <c r="I152" i="2" a="1"/>
  <c r="I152" i="2" s="1"/>
  <c r="H152" i="2"/>
  <c r="E152" i="2"/>
  <c r="B152" i="2"/>
  <c r="J151" i="2" a="1"/>
  <c r="J151" i="2" s="1"/>
  <c r="I151" i="2" a="1"/>
  <c r="I151" i="2" s="1"/>
  <c r="H151" i="2"/>
  <c r="E151" i="2"/>
  <c r="B151" i="2"/>
  <c r="J150" i="2" a="1"/>
  <c r="J150" i="2" s="1"/>
  <c r="I150" i="2" a="1"/>
  <c r="I150" i="2" s="1"/>
  <c r="H150" i="2"/>
  <c r="E150" i="2"/>
  <c r="B150" i="2"/>
  <c r="J149" i="2" a="1"/>
  <c r="J149" i="2" s="1"/>
  <c r="I149" i="2" a="1"/>
  <c r="I149" i="2" s="1"/>
  <c r="H149" i="2"/>
  <c r="E149" i="2"/>
  <c r="B149" i="2"/>
  <c r="J148" i="2" a="1"/>
  <c r="J148" i="2" s="1"/>
  <c r="I148" i="2" a="1"/>
  <c r="I148" i="2" s="1"/>
  <c r="H148" i="2"/>
  <c r="E148" i="2"/>
  <c r="B148" i="2"/>
  <c r="J147" i="2" a="1"/>
  <c r="J147" i="2" s="1"/>
  <c r="I147" i="2" a="1"/>
  <c r="I147" i="2" s="1"/>
  <c r="H147" i="2"/>
  <c r="E147" i="2"/>
  <c r="B147" i="2"/>
  <c r="J146" i="2" a="1"/>
  <c r="J146" i="2" s="1"/>
  <c r="I146" i="2" a="1"/>
  <c r="I146" i="2" s="1"/>
  <c r="H146" i="2"/>
  <c r="E146" i="2"/>
  <c r="B146" i="2"/>
  <c r="J145" i="2" a="1"/>
  <c r="J145" i="2" s="1"/>
  <c r="I145" i="2" a="1"/>
  <c r="I145" i="2" s="1"/>
  <c r="H145" i="2"/>
  <c r="E145" i="2"/>
  <c r="B145" i="2"/>
  <c r="J144" i="2" a="1"/>
  <c r="J144" i="2" s="1"/>
  <c r="I144" i="2" a="1"/>
  <c r="I144" i="2" s="1"/>
  <c r="H144" i="2"/>
  <c r="E144" i="2"/>
  <c r="B144" i="2"/>
  <c r="J143" i="2" a="1"/>
  <c r="J143" i="2" s="1"/>
  <c r="I143" i="2" a="1"/>
  <c r="I143" i="2" s="1"/>
  <c r="H143" i="2"/>
  <c r="E143" i="2"/>
  <c r="B143" i="2"/>
  <c r="J142" i="2" a="1"/>
  <c r="J142" i="2" s="1"/>
  <c r="I142" i="2" a="1"/>
  <c r="I142" i="2" s="1"/>
  <c r="H142" i="2"/>
  <c r="E142" i="2"/>
  <c r="B142" i="2"/>
  <c r="J141" i="2" a="1"/>
  <c r="J141" i="2" s="1"/>
  <c r="I141" i="2" a="1"/>
  <c r="I141" i="2" s="1"/>
  <c r="H141" i="2"/>
  <c r="E141" i="2"/>
  <c r="B141" i="2"/>
  <c r="J140" i="2" a="1"/>
  <c r="J140" i="2" s="1"/>
  <c r="I140" i="2" a="1"/>
  <c r="I140" i="2" s="1"/>
  <c r="H140" i="2"/>
  <c r="E140" i="2"/>
  <c r="B140" i="2"/>
  <c r="J139" i="2" a="1"/>
  <c r="J139" i="2" s="1"/>
  <c r="I139" i="2" a="1"/>
  <c r="I139" i="2" s="1"/>
  <c r="H139" i="2"/>
  <c r="E139" i="2"/>
  <c r="B139" i="2"/>
  <c r="J138" i="2" a="1"/>
  <c r="J138" i="2" s="1"/>
  <c r="I138" i="2" a="1"/>
  <c r="I138" i="2" s="1"/>
  <c r="H138" i="2"/>
  <c r="E138" i="2"/>
  <c r="B138" i="2"/>
  <c r="J137" i="2" a="1"/>
  <c r="J137" i="2" s="1"/>
  <c r="I137" i="2" a="1"/>
  <c r="I137" i="2" s="1"/>
  <c r="H137" i="2"/>
  <c r="E137" i="2"/>
  <c r="B137" i="2"/>
  <c r="J136" i="2" a="1"/>
  <c r="J136" i="2" s="1"/>
  <c r="I136" i="2" a="1"/>
  <c r="I136" i="2" s="1"/>
  <c r="H136" i="2"/>
  <c r="E136" i="2"/>
  <c r="B136" i="2"/>
  <c r="J135" i="2" a="1"/>
  <c r="J135" i="2" s="1"/>
  <c r="I135" i="2" a="1"/>
  <c r="I135" i="2" s="1"/>
  <c r="H135" i="2"/>
  <c r="E135" i="2"/>
  <c r="B135" i="2"/>
  <c r="J134" i="2" a="1"/>
  <c r="J134" i="2" s="1"/>
  <c r="I134" i="2" a="1"/>
  <c r="I134" i="2" s="1"/>
  <c r="H134" i="2"/>
  <c r="E134" i="2"/>
  <c r="B134" i="2"/>
  <c r="J133" i="2" a="1"/>
  <c r="J133" i="2" s="1"/>
  <c r="I133" i="2" a="1"/>
  <c r="I133" i="2" s="1"/>
  <c r="H133" i="2"/>
  <c r="E133" i="2"/>
  <c r="B133" i="2"/>
  <c r="J132" i="2" a="1"/>
  <c r="J132" i="2" s="1"/>
  <c r="I132" i="2" a="1"/>
  <c r="I132" i="2" s="1"/>
  <c r="H132" i="2"/>
  <c r="E132" i="2"/>
  <c r="B132" i="2"/>
  <c r="J131" i="2" a="1"/>
  <c r="J131" i="2" s="1"/>
  <c r="I131" i="2" a="1"/>
  <c r="I131" i="2" s="1"/>
  <c r="H131" i="2"/>
  <c r="E131" i="2"/>
  <c r="B131" i="2"/>
  <c r="J130" i="2" a="1"/>
  <c r="J130" i="2" s="1"/>
  <c r="I130" i="2" a="1"/>
  <c r="I130" i="2" s="1"/>
  <c r="H130" i="2"/>
  <c r="E130" i="2"/>
  <c r="B130" i="2"/>
  <c r="J129" i="2" a="1"/>
  <c r="J129" i="2" s="1"/>
  <c r="I129" i="2" a="1"/>
  <c r="I129" i="2" s="1"/>
  <c r="H129" i="2"/>
  <c r="E129" i="2"/>
  <c r="B129" i="2"/>
  <c r="J128" i="2" a="1"/>
  <c r="J128" i="2" s="1"/>
  <c r="I128" i="2" a="1"/>
  <c r="I128" i="2" s="1"/>
  <c r="H128" i="2"/>
  <c r="E128" i="2"/>
  <c r="B128" i="2"/>
  <c r="J127" i="2" a="1"/>
  <c r="J127" i="2" s="1"/>
  <c r="I127" i="2" a="1"/>
  <c r="I127" i="2" s="1"/>
  <c r="H127" i="2"/>
  <c r="E127" i="2"/>
  <c r="B127" i="2"/>
  <c r="J126" i="2" a="1"/>
  <c r="J126" i="2" s="1"/>
  <c r="I126" i="2" a="1"/>
  <c r="I126" i="2"/>
  <c r="H126" i="2"/>
  <c r="E126" i="2"/>
  <c r="B126" i="2"/>
  <c r="J125" i="2" a="1"/>
  <c r="J125" i="2" s="1"/>
  <c r="I125" i="2" a="1"/>
  <c r="I125" i="2"/>
  <c r="H125" i="2"/>
  <c r="E125" i="2"/>
  <c r="B125" i="2"/>
  <c r="J124" i="2" a="1"/>
  <c r="J124" i="2" s="1"/>
  <c r="I124" i="2" a="1"/>
  <c r="I124" i="2" s="1"/>
  <c r="H124" i="2"/>
  <c r="E124" i="2"/>
  <c r="B124" i="2"/>
  <c r="J123" i="2" a="1"/>
  <c r="J123" i="2" s="1"/>
  <c r="I123" i="2" a="1"/>
  <c r="I123" i="2" s="1"/>
  <c r="H123" i="2"/>
  <c r="E123" i="2"/>
  <c r="B123" i="2"/>
  <c r="J122" i="2" a="1"/>
  <c r="J122" i="2" s="1"/>
  <c r="I122" i="2" a="1"/>
  <c r="I122" i="2" s="1"/>
  <c r="H122" i="2"/>
  <c r="E122" i="2"/>
  <c r="B122" i="2"/>
  <c r="J121" i="2" a="1"/>
  <c r="J121" i="2" s="1"/>
  <c r="I121" i="2" a="1"/>
  <c r="I121" i="2" s="1"/>
  <c r="H121" i="2"/>
  <c r="E121" i="2"/>
  <c r="B121" i="2"/>
  <c r="J120" i="2" a="1"/>
  <c r="J120" i="2" s="1"/>
  <c r="I120" i="2" a="1"/>
  <c r="I120" i="2" s="1"/>
  <c r="H120" i="2"/>
  <c r="E120" i="2"/>
  <c r="B120" i="2"/>
  <c r="J119" i="2" a="1"/>
  <c r="J119" i="2" s="1"/>
  <c r="I119" i="2" a="1"/>
  <c r="I119" i="2" s="1"/>
  <c r="H119" i="2"/>
  <c r="E119" i="2"/>
  <c r="B119" i="2"/>
  <c r="J118" i="2" a="1"/>
  <c r="J118" i="2"/>
  <c r="I118" i="2" a="1"/>
  <c r="I118" i="2" s="1"/>
  <c r="H118" i="2"/>
  <c r="E118" i="2"/>
  <c r="B118" i="2"/>
  <c r="J117" i="2" a="1"/>
  <c r="J117" i="2" s="1"/>
  <c r="I117" i="2" a="1"/>
  <c r="I117" i="2" s="1"/>
  <c r="H117" i="2"/>
  <c r="E117" i="2"/>
  <c r="B117" i="2"/>
  <c r="J116" i="2" a="1"/>
  <c r="J116" i="2" s="1"/>
  <c r="I116" i="2" a="1"/>
  <c r="I116" i="2" s="1"/>
  <c r="H116" i="2"/>
  <c r="E116" i="2"/>
  <c r="B116" i="2"/>
  <c r="J115" i="2" a="1"/>
  <c r="J115" i="2" s="1"/>
  <c r="I115" i="2" a="1"/>
  <c r="I115" i="2" s="1"/>
  <c r="H115" i="2"/>
  <c r="E115" i="2"/>
  <c r="B115" i="2"/>
  <c r="J114" i="2" a="1"/>
  <c r="J114" i="2" s="1"/>
  <c r="I114" i="2" a="1"/>
  <c r="I114" i="2" s="1"/>
  <c r="H114" i="2"/>
  <c r="E114" i="2"/>
  <c r="B114" i="2"/>
  <c r="J113" i="2" a="1"/>
  <c r="J113" i="2" s="1"/>
  <c r="I113" i="2" a="1"/>
  <c r="I113" i="2" s="1"/>
  <c r="H113" i="2"/>
  <c r="E113" i="2"/>
  <c r="B113" i="2"/>
  <c r="J112" i="2" a="1"/>
  <c r="J112" i="2" s="1"/>
  <c r="I112" i="2" a="1"/>
  <c r="I112" i="2" s="1"/>
  <c r="H112" i="2"/>
  <c r="E112" i="2"/>
  <c r="B112" i="2"/>
  <c r="J111" i="2" a="1"/>
  <c r="J111" i="2" s="1"/>
  <c r="I111" i="2" a="1"/>
  <c r="I111" i="2" s="1"/>
  <c r="H111" i="2"/>
  <c r="E111" i="2"/>
  <c r="B111" i="2"/>
  <c r="J110" i="2" a="1"/>
  <c r="J110" i="2" s="1"/>
  <c r="I110" i="2" a="1"/>
  <c r="I110" i="2" s="1"/>
  <c r="H110" i="2"/>
  <c r="E110" i="2"/>
  <c r="B110" i="2"/>
  <c r="J109" i="2" a="1"/>
  <c r="J109" i="2" s="1"/>
  <c r="I109" i="2" a="1"/>
  <c r="I109" i="2" s="1"/>
  <c r="H109" i="2"/>
  <c r="E109" i="2"/>
  <c r="B109" i="2"/>
  <c r="J108" i="2" a="1"/>
  <c r="J108" i="2" s="1"/>
  <c r="I108" i="2" a="1"/>
  <c r="I108" i="2" s="1"/>
  <c r="H108" i="2"/>
  <c r="E108" i="2"/>
  <c r="B108" i="2"/>
  <c r="J107" i="2" a="1"/>
  <c r="J107" i="2" s="1"/>
  <c r="I107" i="2" a="1"/>
  <c r="I107" i="2" s="1"/>
  <c r="H107" i="2"/>
  <c r="E107" i="2"/>
  <c r="B107" i="2"/>
  <c r="J106" i="2" a="1"/>
  <c r="J106" i="2" s="1"/>
  <c r="I106" i="2" a="1"/>
  <c r="I106" i="2" s="1"/>
  <c r="H106" i="2"/>
  <c r="E106" i="2"/>
  <c r="B106" i="2"/>
  <c r="J105" i="2" a="1"/>
  <c r="J105" i="2" s="1"/>
  <c r="I105" i="2" a="1"/>
  <c r="I105" i="2" s="1"/>
  <c r="H105" i="2"/>
  <c r="E105" i="2"/>
  <c r="B105" i="2"/>
  <c r="J104" i="2" a="1"/>
  <c r="J104" i="2" s="1"/>
  <c r="I104" i="2" a="1"/>
  <c r="I104" i="2" s="1"/>
  <c r="H104" i="2"/>
  <c r="E104" i="2"/>
  <c r="B104" i="2"/>
  <c r="J103" i="2" a="1"/>
  <c r="J103" i="2" s="1"/>
  <c r="I103" i="2" a="1"/>
  <c r="I103" i="2" s="1"/>
  <c r="H103" i="2"/>
  <c r="E103" i="2"/>
  <c r="B103" i="2"/>
  <c r="J102" i="2" a="1"/>
  <c r="J102" i="2" s="1"/>
  <c r="I102" i="2" a="1"/>
  <c r="I102" i="2" s="1"/>
  <c r="H102" i="2"/>
  <c r="E102" i="2"/>
  <c r="B102" i="2"/>
  <c r="J101" i="2" a="1"/>
  <c r="J101" i="2" s="1"/>
  <c r="I101" i="2" a="1"/>
  <c r="I101" i="2" s="1"/>
  <c r="H101" i="2"/>
  <c r="E101" i="2"/>
  <c r="B101" i="2"/>
  <c r="J100" i="2" a="1"/>
  <c r="J100" i="2" s="1"/>
  <c r="I100" i="2" a="1"/>
  <c r="I100" i="2" s="1"/>
  <c r="H100" i="2"/>
  <c r="E100" i="2"/>
  <c r="B100" i="2"/>
  <c r="J99" i="2" a="1"/>
  <c r="J99" i="2" s="1"/>
  <c r="I99" i="2" a="1"/>
  <c r="I99" i="2" s="1"/>
  <c r="H99" i="2"/>
  <c r="E99" i="2"/>
  <c r="B99" i="2"/>
  <c r="J98" i="2" a="1"/>
  <c r="J98" i="2" s="1"/>
  <c r="I98" i="2" a="1"/>
  <c r="I98" i="2" s="1"/>
  <c r="H98" i="2"/>
  <c r="E98" i="2"/>
  <c r="B98" i="2"/>
  <c r="J97" i="2" a="1"/>
  <c r="J97" i="2" s="1"/>
  <c r="I97" i="2" a="1"/>
  <c r="I97" i="2" s="1"/>
  <c r="H97" i="2"/>
  <c r="E97" i="2"/>
  <c r="B97" i="2"/>
  <c r="J96" i="2" a="1"/>
  <c r="J96" i="2" s="1"/>
  <c r="I96" i="2" a="1"/>
  <c r="I96" i="2" s="1"/>
  <c r="H96" i="2"/>
  <c r="E96" i="2"/>
  <c r="B96" i="2"/>
  <c r="J95" i="2" a="1"/>
  <c r="J95" i="2" s="1"/>
  <c r="I95" i="2" a="1"/>
  <c r="I95" i="2"/>
  <c r="H95" i="2"/>
  <c r="E95" i="2"/>
  <c r="B95" i="2"/>
  <c r="J94" i="2" a="1"/>
  <c r="J94" i="2"/>
  <c r="I94" i="2" a="1"/>
  <c r="I94" i="2" s="1"/>
  <c r="H94" i="2"/>
  <c r="E94" i="2"/>
  <c r="B94" i="2"/>
  <c r="J93" i="2" a="1"/>
  <c r="J93" i="2" s="1"/>
  <c r="I93" i="2" a="1"/>
  <c r="I93" i="2" s="1"/>
  <c r="H93" i="2"/>
  <c r="E93" i="2"/>
  <c r="B93" i="2"/>
  <c r="J92" i="2" a="1"/>
  <c r="J92" i="2" s="1"/>
  <c r="I92" i="2" a="1"/>
  <c r="I92" i="2" s="1"/>
  <c r="H92" i="2"/>
  <c r="E92" i="2"/>
  <c r="B92" i="2"/>
  <c r="J91" i="2" a="1"/>
  <c r="J91" i="2" s="1"/>
  <c r="I91" i="2" a="1"/>
  <c r="I91" i="2" s="1"/>
  <c r="H91" i="2"/>
  <c r="E91" i="2"/>
  <c r="B91" i="2"/>
  <c r="J90" i="2" a="1"/>
  <c r="J90" i="2" s="1"/>
  <c r="I90" i="2" a="1"/>
  <c r="I90" i="2" s="1"/>
  <c r="H90" i="2"/>
  <c r="E90" i="2"/>
  <c r="B90" i="2"/>
  <c r="J89" i="2" a="1"/>
  <c r="J89" i="2" s="1"/>
  <c r="I89" i="2" a="1"/>
  <c r="I89" i="2" s="1"/>
  <c r="H89" i="2"/>
  <c r="E89" i="2"/>
  <c r="B89" i="2"/>
  <c r="J88" i="2" a="1"/>
  <c r="J88" i="2" s="1"/>
  <c r="I88" i="2" a="1"/>
  <c r="I88" i="2" s="1"/>
  <c r="H88" i="2"/>
  <c r="E88" i="2"/>
  <c r="B88" i="2"/>
  <c r="J87" i="2" a="1"/>
  <c r="J87" i="2" s="1"/>
  <c r="I87" i="2" a="1"/>
  <c r="I87" i="2" s="1"/>
  <c r="H87" i="2"/>
  <c r="E87" i="2"/>
  <c r="B87" i="2"/>
  <c r="J86" i="2" a="1"/>
  <c r="J86" i="2" s="1"/>
  <c r="I86" i="2" a="1"/>
  <c r="I86" i="2" s="1"/>
  <c r="H86" i="2"/>
  <c r="E86" i="2"/>
  <c r="B86" i="2"/>
  <c r="J85" i="2" a="1"/>
  <c r="J85" i="2" s="1"/>
  <c r="I85" i="2" a="1"/>
  <c r="I85" i="2" s="1"/>
  <c r="H85" i="2"/>
  <c r="E85" i="2"/>
  <c r="B85" i="2"/>
  <c r="J84" i="2" a="1"/>
  <c r="J84" i="2" s="1"/>
  <c r="I84" i="2" a="1"/>
  <c r="I84" i="2" s="1"/>
  <c r="H84" i="2"/>
  <c r="E84" i="2"/>
  <c r="B84" i="2"/>
  <c r="J83" i="2" a="1"/>
  <c r="J83" i="2" s="1"/>
  <c r="I83" i="2" a="1"/>
  <c r="I83" i="2" s="1"/>
  <c r="H83" i="2"/>
  <c r="E83" i="2"/>
  <c r="B83" i="2"/>
  <c r="J82" i="2" a="1"/>
  <c r="J82" i="2" s="1"/>
  <c r="I82" i="2" a="1"/>
  <c r="I82" i="2" s="1"/>
  <c r="H82" i="2"/>
  <c r="E82" i="2"/>
  <c r="B82" i="2"/>
  <c r="J81" i="2" a="1"/>
  <c r="J81" i="2" s="1"/>
  <c r="I81" i="2" a="1"/>
  <c r="I81" i="2" s="1"/>
  <c r="H81" i="2"/>
  <c r="E81" i="2"/>
  <c r="B81" i="2"/>
  <c r="J80" i="2" a="1"/>
  <c r="J80" i="2" s="1"/>
  <c r="I80" i="2" a="1"/>
  <c r="I80" i="2" s="1"/>
  <c r="H80" i="2"/>
  <c r="E80" i="2"/>
  <c r="B80" i="2"/>
  <c r="J79" i="2" a="1"/>
  <c r="J79" i="2" s="1"/>
  <c r="I79" i="2" a="1"/>
  <c r="I79" i="2" s="1"/>
  <c r="H79" i="2"/>
  <c r="E79" i="2"/>
  <c r="B79" i="2"/>
  <c r="J78" i="2" a="1"/>
  <c r="J78" i="2" s="1"/>
  <c r="I78" i="2" a="1"/>
  <c r="I78" i="2" s="1"/>
  <c r="H78" i="2"/>
  <c r="E78" i="2"/>
  <c r="B78" i="2"/>
  <c r="J77" i="2" a="1"/>
  <c r="J77" i="2" s="1"/>
  <c r="I77" i="2" a="1"/>
  <c r="I77" i="2" s="1"/>
  <c r="H77" i="2"/>
  <c r="E77" i="2"/>
  <c r="B77" i="2"/>
  <c r="J76" i="2" a="1"/>
  <c r="J76" i="2" s="1"/>
  <c r="I76" i="2" a="1"/>
  <c r="I76" i="2" s="1"/>
  <c r="H76" i="2"/>
  <c r="E76" i="2"/>
  <c r="B76" i="2"/>
  <c r="J75" i="2" a="1"/>
  <c r="J75" i="2" s="1"/>
  <c r="I75" i="2" a="1"/>
  <c r="I75" i="2" s="1"/>
  <c r="H75" i="2"/>
  <c r="E75" i="2"/>
  <c r="B75" i="2"/>
  <c r="J74" i="2" a="1"/>
  <c r="J74" i="2" s="1"/>
  <c r="I74" i="2" a="1"/>
  <c r="I74" i="2" s="1"/>
  <c r="H74" i="2"/>
  <c r="E74" i="2"/>
  <c r="B74" i="2"/>
  <c r="J73" i="2" a="1"/>
  <c r="J73" i="2" s="1"/>
  <c r="I73" i="2" a="1"/>
  <c r="I73" i="2" s="1"/>
  <c r="H73" i="2"/>
  <c r="E73" i="2"/>
  <c r="B73" i="2"/>
  <c r="J72" i="2" a="1"/>
  <c r="J72" i="2" s="1"/>
  <c r="I72" i="2" a="1"/>
  <c r="I72" i="2" s="1"/>
  <c r="H72" i="2"/>
  <c r="E72" i="2"/>
  <c r="B72" i="2"/>
  <c r="J71" i="2" a="1"/>
  <c r="J71" i="2" s="1"/>
  <c r="I71" i="2" a="1"/>
  <c r="I71" i="2" s="1"/>
  <c r="H71" i="2"/>
  <c r="E71" i="2"/>
  <c r="B71" i="2"/>
  <c r="J70" i="2" a="1"/>
  <c r="J70" i="2" s="1"/>
  <c r="I70" i="2" a="1"/>
  <c r="I70" i="2" s="1"/>
  <c r="H70" i="2"/>
  <c r="E70" i="2"/>
  <c r="B70" i="2"/>
  <c r="J69" i="2" a="1"/>
  <c r="J69" i="2" s="1"/>
  <c r="I69" i="2" a="1"/>
  <c r="I69" i="2" s="1"/>
  <c r="H69" i="2"/>
  <c r="E69" i="2"/>
  <c r="B69" i="2"/>
  <c r="J68" i="2" a="1"/>
  <c r="J68" i="2" s="1"/>
  <c r="I68" i="2" a="1"/>
  <c r="I68" i="2" s="1"/>
  <c r="H68" i="2"/>
  <c r="E68" i="2"/>
  <c r="B68" i="2"/>
  <c r="J67" i="2" a="1"/>
  <c r="J67" i="2" s="1"/>
  <c r="I67" i="2" a="1"/>
  <c r="I67" i="2" s="1"/>
  <c r="H67" i="2"/>
  <c r="E67" i="2"/>
  <c r="B67" i="2"/>
  <c r="J66" i="2" a="1"/>
  <c r="J66" i="2" s="1"/>
  <c r="I66" i="2" a="1"/>
  <c r="I66" i="2" s="1"/>
  <c r="H66" i="2"/>
  <c r="E66" i="2"/>
  <c r="B66" i="2"/>
  <c r="J65" i="2" a="1"/>
  <c r="J65" i="2" s="1"/>
  <c r="I65" i="2" a="1"/>
  <c r="I65" i="2" s="1"/>
  <c r="H65" i="2"/>
  <c r="E65" i="2"/>
  <c r="B65" i="2"/>
  <c r="J64" i="2" a="1"/>
  <c r="J64" i="2" s="1"/>
  <c r="I64" i="2" a="1"/>
  <c r="I64" i="2"/>
  <c r="H64" i="2"/>
  <c r="E64" i="2"/>
  <c r="B64" i="2"/>
  <c r="J63" i="2" a="1"/>
  <c r="J63" i="2" s="1"/>
  <c r="I63" i="2" a="1"/>
  <c r="I63" i="2" s="1"/>
  <c r="H63" i="2"/>
  <c r="E63" i="2"/>
  <c r="B63" i="2"/>
  <c r="J62" i="2" a="1"/>
  <c r="J62" i="2" s="1"/>
  <c r="I62" i="2" a="1"/>
  <c r="I62" i="2"/>
  <c r="H62" i="2"/>
  <c r="E62" i="2"/>
  <c r="B62" i="2"/>
  <c r="J61" i="2" a="1"/>
  <c r="J61" i="2" s="1"/>
  <c r="I61" i="2" a="1"/>
  <c r="I61" i="2" s="1"/>
  <c r="H61" i="2"/>
  <c r="E61" i="2"/>
  <c r="B61" i="2"/>
  <c r="J60" i="2" a="1"/>
  <c r="J60" i="2" s="1"/>
  <c r="I60" i="2" a="1"/>
  <c r="I60" i="2" s="1"/>
  <c r="H60" i="2"/>
  <c r="E60" i="2"/>
  <c r="B60" i="2"/>
  <c r="J59" i="2" a="1"/>
  <c r="J59" i="2" s="1"/>
  <c r="I59" i="2" a="1"/>
  <c r="I59" i="2" s="1"/>
  <c r="H59" i="2"/>
  <c r="E59" i="2"/>
  <c r="B59" i="2"/>
  <c r="J58" i="2" a="1"/>
  <c r="J58" i="2"/>
  <c r="I58" i="2" a="1"/>
  <c r="I58" i="2" s="1"/>
  <c r="H58" i="2"/>
  <c r="E58" i="2"/>
  <c r="B58" i="2"/>
  <c r="J57" i="2" a="1"/>
  <c r="J57" i="2" s="1"/>
  <c r="I57" i="2" a="1"/>
  <c r="I57" i="2" s="1"/>
  <c r="H57" i="2"/>
  <c r="E57" i="2"/>
  <c r="B57" i="2"/>
  <c r="J56" i="2" a="1"/>
  <c r="J56" i="2" s="1"/>
  <c r="I56" i="2" a="1"/>
  <c r="I56" i="2" s="1"/>
  <c r="H56" i="2"/>
  <c r="E56" i="2"/>
  <c r="B56" i="2"/>
  <c r="J55" i="2" a="1"/>
  <c r="J55" i="2" s="1"/>
  <c r="I55" i="2" a="1"/>
  <c r="I55" i="2" s="1"/>
  <c r="H55" i="2"/>
  <c r="E55" i="2"/>
  <c r="B55" i="2"/>
  <c r="J54" i="2" a="1"/>
  <c r="J54" i="2" s="1"/>
  <c r="I54" i="2" a="1"/>
  <c r="I54" i="2" s="1"/>
  <c r="H54" i="2"/>
  <c r="E54" i="2"/>
  <c r="B54" i="2"/>
  <c r="J53" i="2" a="1"/>
  <c r="J53" i="2" s="1"/>
  <c r="I53" i="2" a="1"/>
  <c r="I53" i="2" s="1"/>
  <c r="H53" i="2"/>
  <c r="E53" i="2"/>
  <c r="B53" i="2"/>
  <c r="J52" i="2" a="1"/>
  <c r="J52" i="2" s="1"/>
  <c r="I52" i="2" a="1"/>
  <c r="I52" i="2" s="1"/>
  <c r="H52" i="2"/>
  <c r="E52" i="2"/>
  <c r="B52" i="2"/>
  <c r="J51" i="2" a="1"/>
  <c r="J51" i="2" s="1"/>
  <c r="I51" i="2" a="1"/>
  <c r="I51" i="2" s="1"/>
  <c r="H51" i="2"/>
  <c r="E51" i="2"/>
  <c r="B51" i="2"/>
  <c r="J50" i="2" a="1"/>
  <c r="J50" i="2" s="1"/>
  <c r="I50" i="2" a="1"/>
  <c r="I50" i="2" s="1"/>
  <c r="H50" i="2"/>
  <c r="E50" i="2"/>
  <c r="B50" i="2"/>
  <c r="J49" i="2" a="1"/>
  <c r="J49" i="2" s="1"/>
  <c r="I49" i="2" a="1"/>
  <c r="I49" i="2" s="1"/>
  <c r="H49" i="2"/>
  <c r="E49" i="2"/>
  <c r="B49" i="2"/>
  <c r="J48" i="2" a="1"/>
  <c r="J48" i="2" s="1"/>
  <c r="I48" i="2" a="1"/>
  <c r="I48" i="2" s="1"/>
  <c r="H48" i="2"/>
  <c r="E48" i="2"/>
  <c r="B48" i="2"/>
  <c r="J47" i="2" a="1"/>
  <c r="J47" i="2" s="1"/>
  <c r="I47" i="2" a="1"/>
  <c r="I47" i="2" s="1"/>
  <c r="H47" i="2"/>
  <c r="E47" i="2"/>
  <c r="B47" i="2"/>
  <c r="J46" i="2" a="1"/>
  <c r="J46" i="2" s="1"/>
  <c r="I46" i="2" a="1"/>
  <c r="I46" i="2" s="1"/>
  <c r="H46" i="2"/>
  <c r="E46" i="2"/>
  <c r="B46" i="2"/>
  <c r="J45" i="2" a="1"/>
  <c r="J45" i="2" s="1"/>
  <c r="I45" i="2" a="1"/>
  <c r="I45" i="2" s="1"/>
  <c r="H45" i="2"/>
  <c r="E45" i="2"/>
  <c r="B45" i="2"/>
  <c r="J44" i="2" a="1"/>
  <c r="J44" i="2" s="1"/>
  <c r="I44" i="2" a="1"/>
  <c r="I44" i="2" s="1"/>
  <c r="H44" i="2"/>
  <c r="E44" i="2"/>
  <c r="B44" i="2"/>
  <c r="J43" i="2" a="1"/>
  <c r="J43" i="2" s="1"/>
  <c r="I43" i="2" a="1"/>
  <c r="I43" i="2" s="1"/>
  <c r="H43" i="2"/>
  <c r="E43" i="2"/>
  <c r="B43" i="2"/>
  <c r="J42" i="2" a="1"/>
  <c r="J42" i="2" s="1"/>
  <c r="I42" i="2" a="1"/>
  <c r="I42" i="2"/>
  <c r="H42" i="2"/>
  <c r="E42" i="2"/>
  <c r="B42" i="2"/>
  <c r="J41" i="2" a="1"/>
  <c r="J41" i="2" s="1"/>
  <c r="I41" i="2" a="1"/>
  <c r="I41" i="2" s="1"/>
  <c r="H41" i="2"/>
  <c r="E41" i="2"/>
  <c r="B41" i="2"/>
  <c r="J40" i="2" a="1"/>
  <c r="J40" i="2" s="1"/>
  <c r="I40" i="2" a="1"/>
  <c r="I40" i="2" s="1"/>
  <c r="H40" i="2"/>
  <c r="E40" i="2"/>
  <c r="B40" i="2"/>
  <c r="J39" i="2" a="1"/>
  <c r="J39" i="2" s="1"/>
  <c r="I39" i="2" a="1"/>
  <c r="I39" i="2" s="1"/>
  <c r="H39" i="2"/>
  <c r="E39" i="2"/>
  <c r="B39" i="2"/>
  <c r="J38" i="2" a="1"/>
  <c r="J38" i="2" s="1"/>
  <c r="I38" i="2" a="1"/>
  <c r="I38" i="2"/>
  <c r="H38" i="2"/>
  <c r="E38" i="2"/>
  <c r="B38" i="2"/>
  <c r="J37" i="2" a="1"/>
  <c r="J37" i="2" s="1"/>
  <c r="I37" i="2" a="1"/>
  <c r="I37" i="2" s="1"/>
  <c r="H37" i="2"/>
  <c r="E37" i="2"/>
  <c r="B37" i="2"/>
  <c r="J36" i="2" a="1"/>
  <c r="J36" i="2"/>
  <c r="I36" i="2" a="1"/>
  <c r="I36" i="2" s="1"/>
  <c r="H36" i="2"/>
  <c r="E36" i="2"/>
  <c r="B36" i="2"/>
  <c r="J35" i="2" a="1"/>
  <c r="J35" i="2" s="1"/>
  <c r="I35" i="2" a="1"/>
  <c r="I35" i="2" s="1"/>
  <c r="H35" i="2"/>
  <c r="E35" i="2"/>
  <c r="B35" i="2"/>
  <c r="J34" i="2" a="1"/>
  <c r="J34" i="2" s="1"/>
  <c r="I34" i="2" a="1"/>
  <c r="I34" i="2" s="1"/>
  <c r="H34" i="2"/>
  <c r="E34" i="2"/>
  <c r="B34" i="2"/>
  <c r="J33" i="2" a="1"/>
  <c r="J33" i="2" s="1"/>
  <c r="I33" i="2" a="1"/>
  <c r="I33" i="2" s="1"/>
  <c r="H33" i="2"/>
  <c r="E33" i="2"/>
  <c r="B33" i="2"/>
  <c r="J32" i="2" a="1"/>
  <c r="J32" i="2" s="1"/>
  <c r="I32" i="2" a="1"/>
  <c r="I32" i="2"/>
  <c r="H32" i="2"/>
  <c r="E32" i="2"/>
  <c r="B32" i="2"/>
  <c r="J31" i="2" a="1"/>
  <c r="J31" i="2" s="1"/>
  <c r="I31" i="2" a="1"/>
  <c r="I31" i="2" s="1"/>
  <c r="H31" i="2"/>
  <c r="E31" i="2"/>
  <c r="B31" i="2"/>
  <c r="J30" i="2" a="1"/>
  <c r="J30" i="2" s="1"/>
  <c r="I30" i="2" a="1"/>
  <c r="I30" i="2" s="1"/>
  <c r="H30" i="2"/>
  <c r="E30" i="2"/>
  <c r="B30" i="2"/>
  <c r="J29" i="2" a="1"/>
  <c r="J29" i="2" s="1"/>
  <c r="I29" i="2" a="1"/>
  <c r="I29" i="2" s="1"/>
  <c r="H29" i="2"/>
  <c r="E29" i="2"/>
  <c r="B29" i="2"/>
  <c r="J28" i="2" a="1"/>
  <c r="J28" i="2" s="1"/>
  <c r="I28" i="2" a="1"/>
  <c r="I28" i="2" s="1"/>
  <c r="H28" i="2"/>
  <c r="E28" i="2"/>
  <c r="B28" i="2"/>
  <c r="J27" i="2" a="1"/>
  <c r="J27" i="2" s="1"/>
  <c r="I27" i="2" a="1"/>
  <c r="I27" i="2" s="1"/>
  <c r="H27" i="2"/>
  <c r="E27" i="2"/>
  <c r="B27" i="2"/>
  <c r="J26" i="2" a="1"/>
  <c r="J26" i="2" s="1"/>
  <c r="I26" i="2" a="1"/>
  <c r="I26" i="2" s="1"/>
  <c r="H26" i="2"/>
  <c r="E26" i="2"/>
  <c r="B26" i="2"/>
  <c r="J25" i="2" a="1"/>
  <c r="J25" i="2" s="1"/>
  <c r="I25" i="2" a="1"/>
  <c r="I25" i="2" s="1"/>
  <c r="H25" i="2"/>
  <c r="E25" i="2"/>
  <c r="B25" i="2"/>
  <c r="J24" i="2" a="1"/>
  <c r="J24" i="2" s="1"/>
  <c r="I24" i="2" a="1"/>
  <c r="I24" i="2" s="1"/>
  <c r="H24" i="2"/>
  <c r="E24" i="2"/>
  <c r="B24" i="2"/>
  <c r="J23" i="2" a="1"/>
  <c r="J23" i="2" s="1"/>
  <c r="I23" i="2" a="1"/>
  <c r="I23" i="2" s="1"/>
  <c r="H23" i="2"/>
  <c r="E23" i="2"/>
  <c r="B23" i="2"/>
  <c r="J22" i="2" a="1"/>
  <c r="J22" i="2" s="1"/>
  <c r="I22" i="2" a="1"/>
  <c r="I22" i="2"/>
  <c r="H22" i="2"/>
  <c r="E22" i="2"/>
  <c r="B22" i="2"/>
  <c r="J21" i="2" a="1"/>
  <c r="J21" i="2" s="1"/>
  <c r="I21" i="2" a="1"/>
  <c r="I21" i="2" s="1"/>
  <c r="H21" i="2"/>
  <c r="E21" i="2"/>
  <c r="B21" i="2"/>
  <c r="J20" i="2" a="1"/>
  <c r="J20" i="2" s="1"/>
  <c r="I20" i="2" a="1"/>
  <c r="I20" i="2" s="1"/>
  <c r="H20" i="2"/>
  <c r="E20" i="2"/>
  <c r="B20" i="2"/>
  <c r="J19" i="2" a="1"/>
  <c r="J19" i="2" s="1"/>
  <c r="I19" i="2" a="1"/>
  <c r="I19" i="2" s="1"/>
  <c r="H19" i="2"/>
  <c r="E19" i="2"/>
  <c r="B19" i="2"/>
  <c r="J18" i="2" a="1"/>
  <c r="J18" i="2" s="1"/>
  <c r="I18" i="2" a="1"/>
  <c r="I18" i="2"/>
  <c r="H18" i="2"/>
  <c r="E18" i="2"/>
  <c r="B18" i="2"/>
  <c r="J17" i="2" a="1"/>
  <c r="J17" i="2" s="1"/>
  <c r="I17" i="2" a="1"/>
  <c r="I17" i="2" s="1"/>
  <c r="H17" i="2"/>
  <c r="E17" i="2"/>
  <c r="B17" i="2"/>
  <c r="J16" i="2" a="1"/>
  <c r="J16" i="2"/>
  <c r="I16" i="2" a="1"/>
  <c r="I16" i="2" s="1"/>
  <c r="H16" i="2"/>
  <c r="E16" i="2"/>
  <c r="B16" i="2"/>
  <c r="J15" i="2" a="1"/>
  <c r="J15" i="2" s="1"/>
  <c r="I15" i="2" a="1"/>
  <c r="I15" i="2" s="1"/>
  <c r="H15" i="2"/>
  <c r="E15" i="2"/>
  <c r="B15" i="2"/>
  <c r="J14" i="2" a="1"/>
  <c r="J14" i="2" s="1"/>
  <c r="I14" i="2" a="1"/>
  <c r="I14" i="2" s="1"/>
  <c r="H14" i="2"/>
  <c r="E14" i="2"/>
  <c r="B14" i="2"/>
  <c r="J13" i="2" a="1"/>
  <c r="J13" i="2" s="1"/>
  <c r="I13" i="2" a="1"/>
  <c r="I13" i="2"/>
  <c r="H13" i="2"/>
  <c r="E13" i="2"/>
  <c r="B13" i="2"/>
  <c r="J12" i="2" a="1"/>
  <c r="J12" i="2" s="1"/>
  <c r="I12" i="2" a="1"/>
  <c r="I12" i="2"/>
  <c r="H12" i="2"/>
  <c r="E12" i="2"/>
  <c r="B12" i="2"/>
  <c r="J11" i="2" a="1"/>
  <c r="J11" i="2" s="1"/>
  <c r="I11" i="2" a="1"/>
  <c r="I11" i="2" s="1"/>
  <c r="H11" i="2"/>
  <c r="E11" i="2"/>
  <c r="B11" i="2"/>
  <c r="J10" i="2" a="1"/>
  <c r="J10" i="2" s="1"/>
  <c r="I10" i="2" a="1"/>
  <c r="I10" i="2" s="1"/>
  <c r="H10" i="2"/>
  <c r="E10" i="2"/>
  <c r="B10" i="2"/>
  <c r="J9" i="2" a="1"/>
  <c r="J9" i="2" s="1"/>
  <c r="I9" i="2" a="1"/>
  <c r="I9" i="2" s="1"/>
  <c r="H9" i="2"/>
  <c r="E9" i="2"/>
  <c r="B9" i="2"/>
  <c r="J8" i="2" a="1"/>
  <c r="J8" i="2" s="1"/>
  <c r="I8" i="2" a="1"/>
  <c r="I8" i="2" s="1"/>
  <c r="H8" i="2"/>
  <c r="E8" i="2"/>
  <c r="B8" i="2"/>
  <c r="J7" i="2" a="1"/>
  <c r="J7" i="2" s="1"/>
  <c r="I7" i="2" a="1"/>
  <c r="I7" i="2" s="1"/>
  <c r="H7" i="2"/>
  <c r="E7" i="2"/>
  <c r="B7" i="2"/>
  <c r="J6" i="2" a="1"/>
  <c r="J6" i="2" s="1"/>
  <c r="I6" i="2" a="1"/>
  <c r="I6" i="2" s="1"/>
  <c r="H6" i="2"/>
  <c r="E6" i="2"/>
  <c r="B6" i="2"/>
  <c r="J5" i="2" a="1"/>
  <c r="J5" i="2" s="1"/>
  <c r="I5" i="2" a="1"/>
  <c r="I5" i="2" s="1"/>
  <c r="H5" i="2"/>
  <c r="E5" i="2"/>
  <c r="B5" i="2"/>
  <c r="J4" i="2" a="1"/>
  <c r="J4" i="2" s="1"/>
  <c r="I4" i="2" a="1"/>
  <c r="I4" i="2" s="1"/>
  <c r="H4" i="2"/>
  <c r="E4" i="2"/>
  <c r="B4" i="2"/>
  <c r="J3" i="2" a="1"/>
  <c r="J3" i="2" s="1"/>
  <c r="I3" i="2" a="1"/>
  <c r="I3" i="2" s="1"/>
  <c r="H3" i="2"/>
  <c r="E3" i="2"/>
  <c r="B3" i="2"/>
  <c r="J2" i="2" a="1"/>
  <c r="J2" i="2" s="1"/>
  <c r="I2" i="2" a="1"/>
  <c r="I2" i="2" s="1"/>
  <c r="H2" i="2"/>
  <c r="E2" i="2"/>
  <c r="B2" i="2"/>
  <c r="J1" i="2" a="1"/>
  <c r="J1" i="2" s="1"/>
  <c r="I1" i="2" a="1"/>
  <c r="I1" i="2" s="1"/>
  <c r="H1" i="2"/>
  <c r="E1" i="2"/>
  <c r="B1" i="2"/>
  <c r="L349" i="7" l="1"/>
  <c r="M349" i="7" s="1"/>
  <c r="N349" i="7" s="1"/>
  <c r="I3" i="7"/>
  <c r="B313" i="3" s="1"/>
  <c r="I5" i="7"/>
  <c r="B315" i="3" s="1"/>
  <c r="I7" i="7"/>
  <c r="B317" i="3" s="1"/>
  <c r="I9" i="7"/>
  <c r="B319" i="3" s="1"/>
  <c r="I11" i="7"/>
  <c r="B321" i="3" s="1"/>
  <c r="I13" i="7"/>
  <c r="B323" i="3" s="1"/>
  <c r="I15" i="7"/>
  <c r="B325" i="3" s="1"/>
  <c r="I17" i="7"/>
  <c r="B327" i="3" s="1"/>
  <c r="I19" i="7"/>
  <c r="B329" i="3" s="1"/>
  <c r="I21" i="7"/>
  <c r="B331" i="3" s="1"/>
  <c r="I23" i="7"/>
  <c r="B333" i="3" s="1"/>
  <c r="I25" i="7"/>
  <c r="B335" i="3" s="1"/>
  <c r="I27" i="7"/>
  <c r="B337" i="3" s="1"/>
  <c r="I29" i="7"/>
  <c r="B339" i="3" s="1"/>
  <c r="I31" i="7"/>
  <c r="B341" i="3" s="1"/>
  <c r="I33" i="7"/>
  <c r="B343" i="3" s="1"/>
  <c r="I35" i="7"/>
  <c r="B345" i="3" s="1"/>
</calcChain>
</file>

<file path=xl/sharedStrings.xml><?xml version="1.0" encoding="utf-8"?>
<sst xmlns="http://schemas.openxmlformats.org/spreadsheetml/2006/main" count="2678" uniqueCount="469">
  <si>
    <t>VRT　COMMENT</t>
  </si>
  <si>
    <t>Detection</t>
  </si>
  <si>
    <t>https://github.com/storybookjs/storybook/pull/20712#discussion_r1083565846</t>
  </si>
  <si>
    <t>Focus Does Not Work</t>
  </si>
  <si>
    <t>https://github.com/storybookjs/storybook/pull/20712#discussion_r1083724374</t>
  </si>
  <si>
    <t>OutOfScope: Duplicates</t>
  </si>
  <si>
    <t>https://github.com/ni/nimble/pull/966#discussion_r1074023214</t>
  </si>
  <si>
    <t>Size of Page/Header Changed</t>
  </si>
  <si>
    <t>https://github.com/guardian/dotcom-rendering/pull/6954#issuecomment-1383873154</t>
  </si>
  <si>
    <t>OutOfScope: Cannot access</t>
  </si>
  <si>
    <t>https://github.com/GCTC-NTGC/gc-digital-talent/pull/5740#issuecomment-1440357711</t>
  </si>
  <si>
    <t>Text Size Changed</t>
  </si>
  <si>
    <t>https://github.com/storybookjs/storybook/pull/20995#issuecomment-1426807019</t>
  </si>
  <si>
    <t>https://github.com/guardian/dotcom-rendering/pull/7128#issuecomment-1422355751</t>
  </si>
  <si>
    <t>Layout Shifted</t>
  </si>
  <si>
    <t>https://github.com/guardian/dotcom-rendering/pull/7128#issuecomment-1422375286</t>
  </si>
  <si>
    <t>https://github.com/guardian/dotcom-rendering/pull/7128#issuecomment-1422416345</t>
  </si>
  <si>
    <t>https://github.com/ithaka/pharos/pull/503#discussion_r1146494323</t>
  </si>
  <si>
    <t>Border Disappeared</t>
  </si>
  <si>
    <t>https://github.com/adobe/react-spectrum/pull/4243#issuecomment-1481577294</t>
  </si>
  <si>
    <t>OutOfScope: New Story</t>
  </si>
  <si>
    <t>https://github.com/NeurodataWithoutBorders/nwb-guide/pull/74#issuecomment-1486132202</t>
  </si>
  <si>
    <t>Image Replaced</t>
  </si>
  <si>
    <t>Layout Changed</t>
  </si>
  <si>
    <t>https://github.com/NeurodataWithoutBorders/nwb-guide/pull/74#issuecomment-1486151336</t>
  </si>
  <si>
    <t>https://github.com/seek-oss/braid-design-system/pull/1240#discussion_r1127264221</t>
  </si>
  <si>
    <t>Text Disappeared</t>
  </si>
  <si>
    <t>New Contents</t>
  </si>
  <si>
    <t>https://github.com/contentful/forma-36/pull/2436#issuecomment-1482782327</t>
  </si>
  <si>
    <t>https://github.com/contentful/forma-36/pull/2436#issuecomment-1485049856</t>
  </si>
  <si>
    <t>https://github.com/contentful/forma-36/pull/2430#issuecomment-1468376389</t>
  </si>
  <si>
    <t>Undefined/Wrong State is Shown</t>
  </si>
  <si>
    <t>https://github.com/sbb-design-systems/lyne-components/pull/1691#discussion_r1155937820</t>
  </si>
  <si>
    <t>https://github.com/livechat/design-system/pull/518#issuecomment-1513081507</t>
  </si>
  <si>
    <t>Default State is Changed</t>
  </si>
  <si>
    <t>https://github.com/coder/coder/pull/7210#issuecomment-1523711377</t>
  </si>
  <si>
    <t>https://github.com/coder/coder/pull/7210#issuecomment-1523829146</t>
  </si>
  <si>
    <t>https://github.com/forkfacts/forkfacts-v2/pull/26#discussion_r1156498711</t>
  </si>
  <si>
    <t>https://github.com/storybookjs/storybook/pull/22336#issuecomment-1576578560</t>
  </si>
  <si>
    <t>https://github.com/ForgeRock/forgerock-web-login-framework/pull/121#issuecomment-1582606514</t>
  </si>
  <si>
    <t>https://github.com/ForgeRock/forgerock-web-login-framework/pull/121#issuecomment-1582829867</t>
  </si>
  <si>
    <t>https://github.com/danskernesdigitalebibliotek/dpl-design-system/pull/239#issuecomment-1590831197</t>
  </si>
  <si>
    <t>https://github.com/NeurodataWithoutBorders/nwb-guide/pull/219#issuecomment-1582854272</t>
  </si>
  <si>
    <t>Contents Disappeared</t>
  </si>
  <si>
    <t>https://github.com/input-output-hk/lace/pull/128#discussion_r1235304399</t>
  </si>
  <si>
    <t>Box Color Changed</t>
  </si>
  <si>
    <t>https://github.com/input-output-hk/lace/pull/128#discussion_r1235309846</t>
  </si>
  <si>
    <t>https://github.com/contentful/forma-36/pull/2498#issuecomment-1578506842</t>
  </si>
  <si>
    <t>https://github.com/contentful/forma-36/pull/2498#issuecomment-1578517673</t>
  </si>
  <si>
    <t>https://github.com/ni/nimble/pull/1335#discussion_r1263879886</t>
  </si>
  <si>
    <t>https://github.com/Sage-Bionetworks/synapse-web-monorepo/pull/319#issuecomment-1597866592</t>
  </si>
  <si>
    <t>Box Size Changed</t>
  </si>
  <si>
    <t>https://github.com/chromaui/addon-visual-tests/pull/22#issuecomment-1675592946</t>
  </si>
  <si>
    <t>OutOfScope: Not VRT Discussion</t>
  </si>
  <si>
    <t>https://github.com/contentful/forma-36/pull/2520#issuecomment-1624983316</t>
  </si>
  <si>
    <t>https://github.com/isomerpages/isomercms-frontend/pull/1398#issuecomment-1672650566</t>
  </si>
  <si>
    <t>https://github.com/isomerpages/isomercms-frontend/pull/1435#issuecomment-1689636196</t>
  </si>
  <si>
    <t>https://github.com/isomerpages/isomercms-frontend/pull/1396#issuecomment-1672651113</t>
  </si>
  <si>
    <t>https://github.com/Esri/calcite-design-system/pull/7568#issuecomment-1689209740</t>
  </si>
  <si>
    <t>https://github.com/Esri/calcite-design-system/pull/7568#issuecomment-1690111304</t>
  </si>
  <si>
    <t>https://github.com/epicmaxco/vuestic-ui/pull/3729#discussion_r1303995244</t>
  </si>
  <si>
    <t>https://github.com/NeurodataWithoutBorders/nwb-guide/pull/305#issuecomment-1686618217</t>
  </si>
  <si>
    <t>https://github.com/solid-design-system/solid/pull/318#issuecomment-1661736821</t>
  </si>
  <si>
    <t>Text Color Changed</t>
  </si>
  <si>
    <t>https://github.com/guardian/dotcom-rendering/pull/8478#issuecomment-1665498143</t>
  </si>
  <si>
    <t>https://github.com/guardian/dotcom-rendering/pull/8478#issuecomment-1665506423</t>
  </si>
  <si>
    <t>https://github.com/adobe/react-spectrum/pull/4972#discussion_r1306204926</t>
  </si>
  <si>
    <t>https://github.com/guardian/dotcom-rendering/pull/8633#issuecomment-1697519138</t>
  </si>
  <si>
    <t>https://github.com/chromaui/addon-visual-tests/pull/69#discussion_r1314789164</t>
  </si>
  <si>
    <t>https://github.com/storybookjs/storybook/pull/24146#discussion_r1332517627</t>
  </si>
  <si>
    <t>Not sure</t>
  </si>
  <si>
    <t>https://github.com/bitwarden/clients/pull/6225#discussion_r1336278028</t>
  </si>
  <si>
    <t>https://github.com/isomerpages/isomercms-frontend/pull/1620#issuecomment-1780379051</t>
  </si>
  <si>
    <t>https://github.com/Esri/calcite-design-system/pull/8055#issuecomment-1793344331</t>
  </si>
  <si>
    <t>https://github.com/recharts/recharts/pull/3908#issuecomment-1785720245</t>
  </si>
  <si>
    <t>Contents of Text Changed</t>
  </si>
  <si>
    <t>https://github.com/recharts/recharts/pull/3908#issuecomment-1785791090</t>
  </si>
  <si>
    <t>https://github.com/Esri/calcite-design-system/pull/8066#issuecomment-1781507882</t>
  </si>
  <si>
    <t>https://github.com/navikt/aksel/pull/2395#discussion_r1365062177</t>
  </si>
  <si>
    <t>https://github.com/storybookjs/storybook/pull/24395#issuecomment-1752448257</t>
  </si>
  <si>
    <t>https://github.com/kufu/smarthr-ui/pull/3975#issuecomment-1807527354</t>
  </si>
  <si>
    <t>https://github.com/kufu/smarthr-ui/pull/3975#issuecomment-1809757221</t>
  </si>
  <si>
    <t>https://github.com/guardian/support-frontend/pull/5429#issuecomment-1801905875</t>
  </si>
  <si>
    <t>https://github.com/coder/coder/pull/10857#issuecomment-1828368632</t>
  </si>
  <si>
    <t>https://github.com/GCTC-NTGC/gc-digital-talent/pull/8405#issuecomment-1793218502</t>
  </si>
  <si>
    <t>Image Adjusted</t>
  </si>
  <si>
    <t>https://github.com/daydule/frontend/pull/71#discussion_r1412686754</t>
  </si>
  <si>
    <t>https://github.com/sbb-design-systems/lyne-components/pull/2255#discussion_r1414961306</t>
  </si>
  <si>
    <t>https://github.com/guardian/dotcom-rendering/pull/9792#discussion_r1417022793</t>
  </si>
  <si>
    <t>https://github.com/adobe/spectrum-css/pull/2424#issuecomment-1948839059</t>
  </si>
  <si>
    <t>https://github.com/AmazeeLabs/silverback-template/pull/132#issuecomment-1910187080</t>
  </si>
  <si>
    <t>OutOfScope: Chromatic Error</t>
  </si>
  <si>
    <t>https://github.com/AmazeeLabs/silverback-template/pull/132#issuecomment-1910451341</t>
  </si>
  <si>
    <t>https://github.com/adobe/react-spectrum/pull/5705#issuecomment-1900904418</t>
  </si>
  <si>
    <t>Wrong Border Thickness</t>
  </si>
  <si>
    <t>https://github.com/adobe/react-spectrum/pull/5705#issuecomment-1901148987</t>
  </si>
  <si>
    <t>https://github.com/adobe/react-spectrum/pull/5705#issuecomment-1901569192</t>
  </si>
  <si>
    <t>New Border Appeared</t>
  </si>
  <si>
    <t>https://github.com/adobe/react-spectrum/pull/5705#issuecomment-1902645890</t>
  </si>
  <si>
    <t>https://github.com/recharts/recharts/pull/4062#issuecomment-1899349398</t>
  </si>
  <si>
    <t>https://github.com/Esri/calcite-design-system/pull/8561#issuecomment-1886360767</t>
  </si>
  <si>
    <t>https://github.com/Esri/calcite-design-system/pull/8561#issuecomment-1887960719</t>
  </si>
  <si>
    <t>https://github.com/kufu/smarthr-ui/pull/4182#discussion_r1450221819</t>
  </si>
  <si>
    <t>https://github.com/NeurodataWithoutBorders/nwb-guide/pull/555#issuecomment-1885822780</t>
  </si>
  <si>
    <t>https://github.com/storybookjs/storybook/pull/25460#discussion_r1443379463</t>
  </si>
  <si>
    <t>https://github.com/ni/nimble/pull/1791#discussion_r1473516211</t>
  </si>
  <si>
    <t>https://github.com/danskernesdigitalebibliotek/dpl-design-system/pull/518#issuecomment-1959829217</t>
  </si>
  <si>
    <t>https://github.com/adobe/react-spectrum/pull/5941#discussion_r1501899861</t>
  </si>
  <si>
    <t>https://github.com/department-of-veterans-affairs/component-library/pull/1073#discussion_r1517923030</t>
  </si>
  <si>
    <t>https://github.com/Esri/calcite-design-system/pull/8786#issuecomment-1955720555</t>
  </si>
  <si>
    <t>https://github.com/kufu/smarthr-ui/pull/4302#discussion_r1487082121</t>
  </si>
  <si>
    <t>https://github.com/storybookjs/storybook/pull/26254#discussion_r1507440482</t>
  </si>
  <si>
    <t>https://github.com/department-of-veterans-affairs/component-library/pull/1096#issuecomment-2025318864</t>
  </si>
  <si>
    <t>https://github.com/ethereum/ethereum-org-website/pull/12594#issuecomment-2024845557</t>
  </si>
  <si>
    <t>https://github.com/kufu/smarthr-ui/pull/4479#issuecomment-2014162418</t>
  </si>
  <si>
    <t>https://github.com/danskernesdigitalebibliotek/dpl-design-system/pull/542#issuecomment-1980864682</t>
  </si>
  <si>
    <t>https://github.com/navikt/aksel/pull/2795#issuecomment-1999698330</t>
  </si>
  <si>
    <t>https://github.com/Crystal-Creations-GbR/crystal-components/pull/70#issuecomment-2034063870</t>
  </si>
  <si>
    <t>https://github.com/chromaui/chromatic-docs/pull/400#discussion_r1530909058</t>
  </si>
  <si>
    <t>https://github.com/NeurodataWithoutBorders/nwb-guide/pull/674#issuecomment-1999943078</t>
  </si>
  <si>
    <t>https://github.com/guardian/dotcom-rendering/pull/10864#issuecomment-2017657371</t>
  </si>
  <si>
    <t>New Text</t>
  </si>
  <si>
    <t>https://github.com/wellcomecollection/wellcomecollection.org/pull/10792#issuecomment-2061398319</t>
  </si>
  <si>
    <t>https://github.com/ethereum/ethereum-org-website/pull/12639#issuecomment-2035787922</t>
  </si>
  <si>
    <t>https://github.com/ethereum/ethereum-org-website/pull/12639#issuecomment-2045255946</t>
  </si>
  <si>
    <t>https://github.com/coder/coder/pull/13031#issuecomment-2072113477</t>
  </si>
  <si>
    <t>https://github.com/recharts/recharts/pull/4441#issuecomment-2063787042</t>
  </si>
  <si>
    <t>https://github.com/appsmithorg/appsmith/pull/32857#issuecomment-2071595653</t>
  </si>
  <si>
    <t>https://github.com/kufu/smarthr-ui/pull/4626#discussion_r1587350621</t>
  </si>
  <si>
    <t>https://github.com/misskey-dev/misskey/pull/13830#issuecomment-2155886151</t>
  </si>
  <si>
    <t>Specific Items are Mis-aligned</t>
  </si>
  <si>
    <t>https://github.com/cloudblue/connect-ui-toolkit/pull/92#issuecomment-2117027142</t>
  </si>
  <si>
    <t>https://github.com/cloudblue/connect-ui-toolkit/pull/92#issuecomment-2117397544</t>
  </si>
  <si>
    <t>https://github.com/danskernesdigitalebibliotek/dpl-design-system/pull/650#issuecomment-2153175265</t>
  </si>
  <si>
    <t>Border Color Changed</t>
  </si>
  <si>
    <t>https://github.com/danskernesdigitalebibliotek/dpl-design-system/pull/650#issuecomment-2156025254</t>
  </si>
  <si>
    <t>https://github.com/recharts/recharts/pull/4542#discussion_r1608892185</t>
  </si>
  <si>
    <t>https://github.com/misskey-dev/misskey/pull/13779#issuecomment-2088165855</t>
  </si>
  <si>
    <t>https://github.com/Esri/calcite-design-system/pull/9688#issuecomment-2200855111</t>
  </si>
  <si>
    <t>https://github.com/ni/nimble/pull/2167#discussion_r1633407705</t>
  </si>
  <si>
    <t>https://github.com/ni/nimble/pull/2167#discussion_r1636377158</t>
  </si>
  <si>
    <t>https://github.com/Sage/carbon/pull/6795#discussion_r1664512005</t>
  </si>
  <si>
    <t>https://github.com/jpmorganchase/salt-ds/pull/3551#issuecomment-2173528937</t>
  </si>
  <si>
    <t>https://github.com/ni/nimble/pull/2189#discussion_r1644509089</t>
  </si>
  <si>
    <t>https://github.com/storybookjs/storybook/pull/28739#issuecomment-2260800234</t>
  </si>
  <si>
    <t>https://github.com/Esri/calcite-design-system/pull/9912#issuecomment-2264155036</t>
  </si>
  <si>
    <t>https://github.com/recharts/recharts/pull/4795#issuecomment-2243019123</t>
  </si>
  <si>
    <t>https://github.com/gradio-app/gradio/pull/8851#issuecomment-2240820847</t>
  </si>
  <si>
    <t>New Buttons</t>
  </si>
  <si>
    <t>https://github.com/ni/nimble/pull/2315#discussion_r1700879609</t>
  </si>
  <si>
    <t>https://github.com/adobe/spectrum-css/pull/2929#discussion_r1722395207</t>
  </si>
  <si>
    <t>https://github.com/sillsdev/web-xforge/pull/2557#issuecomment-2223578650</t>
  </si>
  <si>
    <t>https://github.com/Esri/calcite-design-system/pull/9969#issuecomment-2351227427</t>
  </si>
  <si>
    <t>Flacky Test</t>
  </si>
  <si>
    <t>https://github.com/adobe/react-spectrum/pull/6965#discussion_r1739214016</t>
  </si>
  <si>
    <t>https://github.com/DouyinFE/semi-design/pull/2431#issuecomment-2298195864</t>
  </si>
  <si>
    <t>https://github.com/evidence-dev/evidence/pull/2317#issuecomment-2289243857</t>
  </si>
  <si>
    <t>https://github.com/kufu/smarthr-ui/pull/4821#discussion_r1703897845</t>
  </si>
  <si>
    <t>https://github.com/navikt/aksel/pull/3081#discussion_r1796528450</t>
  </si>
  <si>
    <t>https://github.com/evidence-dev/evidence/pull/2436#issuecomment-2318997943</t>
  </si>
  <si>
    <t>No or Few Visual Diffrences Detected</t>
  </si>
  <si>
    <t>https://github.com/sl-design-system/components/pull/1454#issuecomment-2296393650</t>
  </si>
  <si>
    <t>https://github.com/Khan/wonder-blocks/pull/2309#discussion_r1735211623</t>
  </si>
  <si>
    <t>https://github.com/guardian/dotcom-rendering/pull/12062#issuecomment-2269215873</t>
  </si>
  <si>
    <t>https://github.com/chromaui/chromatic-e2e/pull/207#issuecomment-2379969401</t>
  </si>
  <si>
    <t>https://github.com/chromaui/chromatic-e2e/pull/207#issuecomment-2380293932</t>
  </si>
  <si>
    <t>https://github.com/Esri/calcite-design-system/pull/10343#issuecomment-2359660979</t>
  </si>
  <si>
    <t>https://github.com/chromaui/chromatic-e2e/pull/203#issuecomment-2377384077</t>
  </si>
  <si>
    <t>https://github.com/nl-design-system/rijkshuisstijl-community/pull/620#issuecomment-2333447134</t>
  </si>
  <si>
    <t>https://github.com/gradio-app/gradio/pull/9260#issuecomment-2341588367</t>
  </si>
  <si>
    <t>https://github.com/evidence-dev/evidence/pull/2511#issuecomment-2362192856</t>
  </si>
  <si>
    <t>https://github.com/guardian/dotcom-rendering/pull/12298#issuecomment-2331351518</t>
  </si>
  <si>
    <t>https://github.com/guardian/dotcom-rendering/pull/12298#issuecomment-2331639363</t>
  </si>
  <si>
    <t>https://github.com/adobe/react-spectrum/pull/7284#issuecomment-2445457916</t>
  </si>
  <si>
    <t>https://github.com/Esri/calcite-design-system/pull/10621#discussion_r1819880028</t>
  </si>
  <si>
    <t>https://github.com/VOICEVOX/voicevox/pull/2287#issuecomment-2408543634</t>
  </si>
  <si>
    <t>https://github.com/Longhorn-Developers/UT-Registration-Plus/pull/425#issuecomment-2469782864</t>
  </si>
  <si>
    <t>https://github.com/Sage/carbon/pull/7091#discussion_r1856809685</t>
  </si>
  <si>
    <t>https://github.com/Esri/calcite-design-system/pull/10820#discussion_r1851061100</t>
  </si>
  <si>
    <t>Box Shape Changed</t>
  </si>
  <si>
    <t>https://github.com/opendatasoft/ods-dataviz-sdk/pull/266#discussion_r1906988397</t>
  </si>
  <si>
    <t>https://github.com/kufu/smarthr-ui/pull/5091#discussion_r1837312269</t>
  </si>
  <si>
    <t>https://github.com/Khan/wonder-blocks/pull/2363#discussion_r1850770100</t>
  </si>
  <si>
    <t>https://github.com/fortanix/baklava/pull/54#issuecomment-2541135317</t>
  </si>
  <si>
    <t>https://github.com/fortanix/baklava/pull/54#issuecomment-2541213731</t>
  </si>
  <si>
    <t>https://github.com/ithaka/pharos/pull/862#issuecomment-2624532383</t>
  </si>
  <si>
    <t>https://github.com/epicmaxco/vuestic-ui/pull/4451#issuecomment-2663810694</t>
  </si>
  <si>
    <t>https://github.com/coder/coder/pull/16134#issuecomment-2597614481</t>
  </si>
  <si>
    <t>https://github.com/kufu/smarthr-ui/pull/5307#discussion_r1923604952</t>
  </si>
  <si>
    <t>https://github.com/Esri/calcite-design-system/pull/11215#discussion_r1905911491</t>
  </si>
  <si>
    <t>https://github.com/Khan/wonder-blocks/pull/2441#discussion_r1935940259</t>
  </si>
  <si>
    <t>https://github.com/serendie/serendie/pull/28#issuecomment-2670908811</t>
  </si>
  <si>
    <t>https://github.com/department-of-veterans-affairs/component-library/pull/1487#issuecomment-2668874799</t>
  </si>
  <si>
    <t>https://github.com/Sage/carbon/pull/3498#discussion_r545695302</t>
  </si>
  <si>
    <t>https://github.com/curology/radiance-ui/pull/642#discussion_r543497937</t>
  </si>
  <si>
    <t>No Changes</t>
  </si>
  <si>
    <t>https://github.com/getappmap/appmap-js/pull/57#discussion_r567018223</t>
  </si>
  <si>
    <t>Box Disappeared</t>
  </si>
  <si>
    <t>https://github.com/storybookjs/storybook/pull/13685#issuecomment-765626800</t>
  </si>
  <si>
    <t>https://github.com/contentful/forma-36/pull/757#issuecomment-756679378</t>
  </si>
  <si>
    <t>https://github.com/contentful/forma-36/pull/757#issuecomment-756680553</t>
  </si>
  <si>
    <t>https://github.com/getappmap/appmap-js/pull/32#discussion_r559645850</t>
  </si>
  <si>
    <t>https://github.com/cultureamp/kaizen-design-system/pull/1053#issuecomment-779549912</t>
  </si>
  <si>
    <t>https://github.com/cultureamp/kaizen-design-system/pull/1053#issuecomment-779550856</t>
  </si>
  <si>
    <t>https://github.com/CruGlobal/mpdx-react/pull/25#issuecomment-797531035</t>
  </si>
  <si>
    <t>https://github.com/cultureamp/kaizen-design-system/pull/1218#issuecomment-801625181</t>
  </si>
  <si>
    <t>https://github.com/storybookjs/storybook/pull/14251#issuecomment-801091000</t>
  </si>
  <si>
    <t>https://github.com/storybookjs/storybook/pull/14251#issuecomment-801105402</t>
  </si>
  <si>
    <t>https://github.com/storybookjs/storybook/pull/14172#issuecomment-793654227</t>
  </si>
  <si>
    <t>https://github.com/homebound-team/beam/pull/61#issuecomment-837020051</t>
  </si>
  <si>
    <t>https://github.com/metmuseum/marble/pull/121#discussion_r637023560</t>
  </si>
  <si>
    <t>https://github.com/storybookjs/storybook/pull/15059#issuecomment-856753293</t>
  </si>
  <si>
    <t>https://github.com/ithaka/pharos/pull/36#issuecomment-848266671</t>
  </si>
  <si>
    <t>https://github.com/WPMedia/arc-themes-blocks/pull/862#issuecomment-837133410</t>
  </si>
  <si>
    <t>https://github.com/storybookjs/storybook/pull/14820#issuecomment-835330799</t>
  </si>
  <si>
    <t>https://github.com/grommet/grommet/pull/5213#issuecomment-832071725</t>
  </si>
  <si>
    <t>https://github.com/adobe/react-spectrum/pull/2057#issuecomment-984087504</t>
  </si>
  <si>
    <t>https://github.com/adobe/react-spectrum/pull/2057#issuecomment-985285721</t>
  </si>
  <si>
    <t>https://github.com/getappmap/appmap-js/pull/255#issuecomment-863421123</t>
  </si>
  <si>
    <t>https://github.com/microsoft/iot-cardboard-js/pull/78#issuecomment-888678243</t>
  </si>
  <si>
    <t>https://github.com/ntls-io/nautilus-wallet/pull/28#issuecomment-884843049</t>
  </si>
  <si>
    <t>https://github.com/ntls-io/nautilus-wallet/pull/28#discussion_r676438744</t>
  </si>
  <si>
    <t>https://github.com/ntls-io/nautilus-wallet/pull/23#issuecomment-884723190</t>
  </si>
  <si>
    <t>https://github.com/cultureamp/kaizen-design-system/pull/1800#issuecomment-889533506</t>
  </si>
  <si>
    <t>https://github.com/WPMedia/arc-themes-blocks/pull/1014#discussion_r679838147</t>
  </si>
  <si>
    <t>https://github.com/storybookjs/storybook/pull/15556#issuecomment-878619570</t>
  </si>
  <si>
    <t>https://github.com/contentful/forma-36/pull/1093#issuecomment-883348633</t>
  </si>
  <si>
    <t>https://github.com/gravitee-io/gravitee-ui-components/pull/401#issuecomment-874051052</t>
  </si>
  <si>
    <t>https://github.com/WPMedia/arc-themes-blocks/pull/1044#issuecomment-900553213</t>
  </si>
  <si>
    <t>https://github.com/sberdevices/plasma/pull/676#issuecomment-910057384</t>
  </si>
  <si>
    <t>https://github.com/sberdevices/plasma/pull/676#issuecomment-913474266</t>
  </si>
  <si>
    <t>https://github.com/WPMedia/arc-themes-blocks/pull/1019#issuecomment-892080725</t>
  </si>
  <si>
    <t>https://github.com/WPMedia/arc-themes-blocks/pull/1019#issuecomment-892088511</t>
  </si>
  <si>
    <t>https://github.com/WPMedia/arc-themes-blocks/pull/1062#issuecomment-904955772</t>
  </si>
  <si>
    <t>https://github.com/guardian/gateway/pull/791#issuecomment-899635644</t>
  </si>
  <si>
    <t>https://github.com/guardian/gateway/pull/791#issuecomment-900114068</t>
  </si>
  <si>
    <t>https://github.com/guardian/gateway/pull/791#issuecomment-901702021</t>
  </si>
  <si>
    <t>https://github.com/guardian/gateway/pull/791#issuecomment-901720443</t>
  </si>
  <si>
    <t>https://github.com/PostHog/posthog/pull/5736#issuecomment-906414490</t>
  </si>
  <si>
    <t>Fragile Snapshot</t>
  </si>
  <si>
    <t>https://github.com/eisbuk/EisBuk/pull/183#discussion_r702913628</t>
  </si>
  <si>
    <t>https://github.com/eisbuk/EisBuk/pull/183#discussion_r702913729</t>
  </si>
  <si>
    <t>https://github.com/WPMedia/arc-themes-blocks/pull/1092#issuecomment-924130437</t>
  </si>
  <si>
    <t>https://github.com/WPMedia/arc-themes-blocks/pull/1092#issuecomment-924181155</t>
  </si>
  <si>
    <t>https://github.com/storybookjs/storybook/pull/16178#issuecomment-932479529</t>
  </si>
  <si>
    <t>https://github.com/BBC-archive/psammead/pull/4548#issuecomment-920667290</t>
  </si>
  <si>
    <t>https://github.com/proeco/proeco-client/pull/147#discussion_r739843790</t>
  </si>
  <si>
    <t>https://github.com/guardian/dotcom-rendering/pull/3519#issuecomment-942076500</t>
  </si>
  <si>
    <t>https://github.com/hackworthltd/primer-app/pull/112#issuecomment-970242570</t>
  </si>
  <si>
    <t>https://github.com/ntls-io/nautilus-wallet/pull/136#discussion_r779691202</t>
  </si>
  <si>
    <t>https://github.com/guardian/dotcom-rendering/pull/3645#issuecomment-970508235</t>
  </si>
  <si>
    <t>https://github.com/guardian/dotcom-rendering/pull/3645#issuecomment-971788502</t>
  </si>
  <si>
    <t>https://github.com/cultureamp/kaizen-design-system/pull/2300#issuecomment-976168691</t>
  </si>
  <si>
    <t>https://github.com/dpc-sdp/ripple/pull/1111#discussion_r793138311</t>
  </si>
  <si>
    <t>https://github.com/input-output-hk/daedalus/pull/2776#discussion_r769552260</t>
  </si>
  <si>
    <t>https://github.com/titicacadev/triple-frontend/pull/1762#issuecomment-1000705330</t>
  </si>
  <si>
    <t>https://github.com/titicacadev/triple-frontend/pull/1754#issuecomment-1000097664</t>
  </si>
  <si>
    <t>https://github.com/titicacadev/triple-frontend/pull/1754#issuecomment-1000107533</t>
  </si>
  <si>
    <t>https://github.com/homebound-team/beam/pull/409#issuecomment-994836463</t>
  </si>
  <si>
    <t>https://github.com/homebound-team/beam/pull/409#issuecomment-994966005</t>
  </si>
  <si>
    <t>https://github.com/Workday/canvas-kit/pull/1396#issuecomment-1009184755</t>
  </si>
  <si>
    <t>https://github.com/Khan/wonder-blocks/pull/1257#discussion_r782253740</t>
  </si>
  <si>
    <t>https://github.com/guardian/dotcom-rendering/pull/3724#discussion_r765954024</t>
  </si>
  <si>
    <t>https://github.com/Workday/canvas-kit/pull/1441#issuecomment-1021693435</t>
  </si>
  <si>
    <t>https://github.com/hackworthltd/primer-app/pull/213#issuecomment-1004912593</t>
  </si>
  <si>
    <t>https://github.com/hackworthltd/primer-app/pull/213#issuecomment-1004920865</t>
  </si>
  <si>
    <t>https://github.com/guardian/dotcom-rendering/pull/3823#discussion_r784065168</t>
  </si>
  <si>
    <t>https://github.com/guardian/dotcom-rendering/pull/3988#discussion_r807925280</t>
  </si>
  <si>
    <t>https://github.com/guardian/dotcom-rendering/pull/3897#issuecomment-1026674714</t>
  </si>
  <si>
    <t>https://github.com/chanzuckerberg/edu-design-system/pull/893#discussion_r842892057</t>
  </si>
  <si>
    <t>https://github.com/guardian/gateway/pull/1575#issuecomment-1075108673</t>
  </si>
  <si>
    <t>https://github.com/ni/nimble/pull/406#discussion_r820811558</t>
  </si>
  <si>
    <t>https://github.com/ntls-io/nautilus-wallet/pull/160#issuecomment-1066596746</t>
  </si>
  <si>
    <t>https://github.com/chanzuckerberg/edu-design-system/pull/921#discussion_r838791044</t>
  </si>
  <si>
    <t>https://github.com/lena1687/react-game-project/pull/1#discussion_r857226722</t>
  </si>
  <si>
    <t>https://github.com/curology/radiance-ui/pull/1470#discussion_r842299961</t>
  </si>
  <si>
    <t>https://github.com/metmuseum/marble/pull/185#discussion_r877330203</t>
  </si>
  <si>
    <t>https://github.com/coder/coder/pull/981#discussion_r848878274</t>
  </si>
  <si>
    <t>https://github.com/WPMedia/arc-themes-blocks/pull/1347#issuecomment-1142183578</t>
  </si>
  <si>
    <t>https://github.com/WPMedia/arc-themes-blocks/pull/1345#issuecomment-1128036138</t>
  </si>
  <si>
    <t>https://github.com/WPMedia/arc-themes-blocks/pull/1345#issuecomment-1128167602</t>
  </si>
  <si>
    <t>https://github.com/WPMedia/arc-themes-blocks/pull/1332#issuecomment-1126159948</t>
  </si>
  <si>
    <t>https://github.com/WPMedia/arc-themes-blocks/pull/1335#discussion_r870062272</t>
  </si>
  <si>
    <t>https://github.com/contentful/forma-36/pull/2057#issuecomment-1137141845</t>
  </si>
  <si>
    <t>https://github.com/adobe/react-spectrum/pull/3132#issuecomment-1128161665</t>
  </si>
  <si>
    <t>https://github.com/coder/coder/pull/1574#issuecomment-1130487309</t>
  </si>
  <si>
    <t>https://github.com/WPMedia/arc-themes-blocks/pull/1365#issuecomment-1144002961</t>
  </si>
  <si>
    <t>https://github.com/chanzuckerberg/edu-design-system/pull/1083#issuecomment-1135152219</t>
  </si>
  <si>
    <t>https://github.com/GCTC-NTGC/gc-digital-talent/pull/2728#issuecomment-1125506624</t>
  </si>
  <si>
    <t>https://github.com/GCTC-NTGC/gc-digital-talent/pull/2728#issuecomment-1126018662</t>
  </si>
  <si>
    <t>https://github.com/GCTC-NTGC/gc-digital-talent/pull/2728#issuecomment-1127888784</t>
  </si>
  <si>
    <t>https://github.com/guardian/dotcom-rendering/pull/5128#issuecomment-1149608974</t>
  </si>
  <si>
    <t>https://github.com/WPMedia/arc-themes-blocks/pull/1373#issuecomment-1152400891</t>
  </si>
  <si>
    <t>https://github.com/WPMedia/arc-themes-blocks/pull/1386#discussion_r921977280</t>
  </si>
  <si>
    <t>https://github.com/WPMedia/arc-themes-blocks/pull/1386#issuecomment-1185949928</t>
  </si>
  <si>
    <t>https://github.com/WPMedia/arc-themes-blocks/pull/1386#issuecomment-1187325320</t>
  </si>
  <si>
    <t>https://github.com/coder/coder/pull/2103#issuecomment-1147935372</t>
  </si>
  <si>
    <t>https://github.com/ni/nimble/pull/609#discussion_r902025727</t>
  </si>
  <si>
    <t>https://github.com/homebound-team/beam/pull/550#discussion_r889603761</t>
  </si>
  <si>
    <t>https://github.com/WPMedia/arc-themes-blocks/pull/1411#issuecomment-1191480627</t>
  </si>
  <si>
    <t>https://github.com/WPMedia/arc-themes-blocks/pull/1411#issuecomment-1191482467</t>
  </si>
  <si>
    <t>https://github.com/WPMedia/arc-themes-blocks/pull/1411#issuecomment-1196792652</t>
  </si>
  <si>
    <t>https://github.com/WPMedia/arc-themes-components/pull/116#issuecomment-1184570444</t>
  </si>
  <si>
    <t>https://github.com/WPMedia/arc-themes-components/pull/116#issuecomment-1184585892</t>
  </si>
  <si>
    <t>https://github.com/coder/coder/pull/3189#issuecomment-1194626810</t>
  </si>
  <si>
    <t>https://github.com/coder/coder/pull/3189#issuecomment-1195475937</t>
  </si>
  <si>
    <t>https://github.com/WPMedia/arc-themes-components/pull/121#issuecomment-1192619108</t>
  </si>
  <si>
    <t>https://github.com/cerebrl/forgerock-web-login-framework/pull/6#issuecomment-1194310216</t>
  </si>
  <si>
    <t>https://github.com/guardian/dotcom-rendering/pull/5529#discussion_r949989262</t>
  </si>
  <si>
    <t>https://github.com/bitwarden/clients/pull/3372#issuecomment-1244930705</t>
  </si>
  <si>
    <t>https://github.com/WPMedia/arc-themes-blocks/pull/1481#issuecomment-1224500795</t>
  </si>
  <si>
    <t>https://github.com/WPMedia/arc-themes-blocks/pull/1481#issuecomment-1230715670</t>
  </si>
  <si>
    <t>https://github.com/WPMedia/arc-themes-blocks/pull/1462#issuecomment-1209889538</t>
  </si>
  <si>
    <t>https://github.com/WPMedia/arc-themes-blocks/pull/1462#issuecomment-1209892350</t>
  </si>
  <si>
    <t>https://github.com/storybookjs/storybook/pull/19029#issuecomment-1228712092</t>
  </si>
  <si>
    <t>https://github.com/razorpay/blade/pull/634#issuecomment-1216415091</t>
  </si>
  <si>
    <t>https://github.com/chanzuckerberg/sci-components/pull/236#issuecomment-1215832526</t>
  </si>
  <si>
    <t>https://github.com/launchdarkly/launchpad-ui/pull/351#issuecomment-1242158688</t>
  </si>
  <si>
    <t>https://github.com/storybookjs/storybook/pull/19189#issuecomment-1248920649</t>
  </si>
  <si>
    <t>https://github.com/dpc-sdp/ripple-framework/pull/224#discussion_r970362124</t>
  </si>
  <si>
    <t>https://github.com/GCTC-NTGC/gc-digital-talent/pull/3865#issuecomment-1241109917</t>
  </si>
  <si>
    <t>https://github.com/storybookjs/components-marketing/pull/35#issuecomment-1242259347</t>
  </si>
  <si>
    <t>https://github.com/storybookjs/storybook/pull/19181#issuecomment-1269341227</t>
  </si>
  <si>
    <t>https://github.com/chanzuckerberg/edu-design-system/pull/1322#discussion_r983726151</t>
  </si>
  <si>
    <t>https://github.com/chanzuckerberg/edu-design-system/pull/1322#discussion_r983737173</t>
  </si>
  <si>
    <t>https://github.com/chanzuckerberg/edu-design-system/pull/1346#issuecomment-1279388288</t>
  </si>
  <si>
    <t>https://github.com/chanzuckerberg/edu-design-system/pull/1346#issuecomment-1279399748</t>
  </si>
  <si>
    <t>https://github.com/cultureamp/kaizen-design-system/pull/3051#issuecomment-1291473303</t>
  </si>
  <si>
    <t>https://github.com/coder/coder/pull/4810#discussion_r1037213727</t>
  </si>
  <si>
    <t>https://github.com/guardian/dotcom-rendering/pull/6258#issuecomment-1286822344</t>
  </si>
  <si>
    <t>https://github.com/guardian/dotcom-rendering/pull/6235#issuecomment-1285849085</t>
  </si>
  <si>
    <t>https://github.com/Trendyol/baklava/pull/327#discussion_r1036121644</t>
  </si>
  <si>
    <t>https://github.com/iterative/vscode-dvc/pull/2850#discussion_r1034190905</t>
  </si>
  <si>
    <t>https://github.com/WPMedia/arc-themes-blocks/pull/1556#discussion_r1045712585</t>
  </si>
  <si>
    <t>https://github.com/storybookjs/storybook/pull/19952#issuecomment-1326875286</t>
  </si>
  <si>
    <t>https://github.com/ni/nimble/pull/834#discussion_r1034043175</t>
  </si>
  <si>
    <t>https://github.com/sbb-design-systems/lyne-components/pull/1461#discussion_r1034925705</t>
  </si>
  <si>
    <t>https://github.com/Khan/wonder-blocks/pull/1645#discussion_r1016940226</t>
  </si>
  <si>
    <t>https://github.com/guardian/dotcom-rendering/pull/6405#issuecomment-1308808154</t>
  </si>
  <si>
    <t>https://github.com/wellcomecollection/wellcomecollection.org/pull/8945#discussion_r1037122436</t>
  </si>
  <si>
    <t>https://github.com/DouyinFE/semi-design/pull/1317#issuecomment-1339101503</t>
  </si>
  <si>
    <t>https://github.com/storybookjs/storybook/pull/20359#issuecomment-1361050002</t>
  </si>
  <si>
    <t>https://github.com/ni/nimble/pull/927#discussion_r1050858002</t>
  </si>
  <si>
    <t>https://github.com/chanzuckerberg/edu-design-system/pull/1440#issuecomment-1357892871</t>
  </si>
  <si>
    <t>https://github.com/chanzuckerberg/edu-design-system/pull/1440#issuecomment-1358114979</t>
  </si>
  <si>
    <t>https://github.com/opengovsg/isomer/pull/1144#discussion_r1974730734</t>
  </si>
  <si>
    <t>https://github.com/Esri/calcite-design-system/pull/11759#issuecomment-2738116384</t>
  </si>
  <si>
    <t>https://github.com/openops-cloud/openops/pull/286#issuecomment-2750462330</t>
  </si>
  <si>
    <t>https://github.com/temporalio/ui/pull/2599#issuecomment-2730449028</t>
  </si>
  <si>
    <t>https://github.com/Khan/wonder-blocks/pull/2508#discussion_r2006483914</t>
  </si>
  <si>
    <t>https://github.com/Khan/wonder-blocks/pull/2508#discussion_r2008301713</t>
  </si>
  <si>
    <t>https://github.com/ory/elements/pull/371#discussion_r1977424201</t>
  </si>
  <si>
    <t>https://github.com/nl-design-system/denhaag/pull/1709#issuecomment-2703653274</t>
  </si>
  <si>
    <t>https://github.com/adobe/spectrum-css/pull/3593#issuecomment-2693948041</t>
  </si>
  <si>
    <t>https://github.com/nodejs/nodejs.org/pull/7638#issuecomment-2795597092</t>
  </si>
  <si>
    <t>https://github.com/Khan/wonder-blocks/pull/2563#discussion_r2049478574</t>
  </si>
  <si>
    <t>https://github.com/nodejs/nodejs.org/pull/7754#issuecomment-2888992525</t>
  </si>
  <si>
    <t>https://github.com/nodejs/nodejs.org/pull/7754#issuecomment-2889053424</t>
  </si>
  <si>
    <t>https://github.com/nodejs/nodejs.org/pull/7754#issuecomment-2889218109</t>
  </si>
  <si>
    <t>https://github.com/coder/coder/pull/17822#issuecomment-2884484097</t>
  </si>
  <si>
    <t>https://github.com/storacha/bluesky-backup-webapp-server/pull/171#discussion_r2096028845</t>
  </si>
  <si>
    <t>https://github.com/Khan/wonder-blocks/pull/2602#discussion_r2098766914</t>
  </si>
  <si>
    <t>https://github.com/Khan/wonder-blocks/pull/2602#discussion_r2103548556</t>
  </si>
  <si>
    <t>https://github.com/Khan/wonder-blocks/pull/2600#issuecomment-2887722760</t>
  </si>
  <si>
    <t>https://github.com/recharts/recharts/pull/6008#issuecomment-3004356312</t>
  </si>
  <si>
    <t>https://github.com/Khan/wonder-blocks/pull/2661#discussion_r2150341785</t>
  </si>
  <si>
    <t>https://github.com/coder/coder/pull/18445#discussion_r2157012512</t>
  </si>
  <si>
    <t>https://github.com/Esri/calcite-design-system/pull/12595#issuecomment-3134461611</t>
  </si>
  <si>
    <t>https://github.com/kiva/kv-ui-elements/pull/597#issuecomment-3050388713</t>
  </si>
  <si>
    <t>https://github.com/Khan/perseus/pull/2728#discussion_r2226684249</t>
  </si>
  <si>
    <t>https://github.com/recharts/recharts/pull/6059#issuecomment-3037435884</t>
  </si>
  <si>
    <t>https://github.com/Khan/wonder-blocks/pull/2715#issuecomment-3104643517</t>
  </si>
  <si>
    <t>https://github.com/Khan/wonder-blocks/pull/2766#discussion_r2294739847</t>
  </si>
  <si>
    <t>https://github.com/Khan/wonder-blocks/pull/2758#discussion_r2279534507</t>
  </si>
  <si>
    <t>https://github.com/coder/coder/pull/19753#discussion_r2380229424</t>
  </si>
  <si>
    <t>https://github.com/adobe/react-spectrum/pull/8893#issuecomment-3314117225</t>
  </si>
  <si>
    <t>https://github.com/opengovsg/isomer/pull/1585#issuecomment-3274242189</t>
  </si>
  <si>
    <t>https://github.com/Khan/wonder-blocks/pull/2786#discussion_r2349918819</t>
  </si>
  <si>
    <t>https://github.com/Khan/wonder-blocks/pull/2786#discussion_r2353846205</t>
  </si>
  <si>
    <t>https://github.com/mswjs/msw-storybook-addon/pull/22#discussion_r602729163</t>
  </si>
  <si>
    <t>https://github.com/storybookjs/storybook/pull/14528#issuecomment-818063376</t>
  </si>
  <si>
    <t>https://github.com/storybookjs/storybook/pull/15080#issuecomment-850596423</t>
  </si>
  <si>
    <t>https://github.com/storybookjs/storybook/pull/15080#issuecomment-850776321</t>
  </si>
  <si>
    <t>https://github.com/storybookjs/storybook/pull/15080#issuecomment-870014559</t>
  </si>
  <si>
    <t>https://github.com/nickooms/learnstorybook-design-system/pull/1#issuecomment-849190817</t>
  </si>
  <si>
    <t>https://github.com/adobe/react-spectrum/pull/2515#issuecomment-966653132</t>
  </si>
  <si>
    <t>https://github.com/adobe/react-spectrum/pull/2515#issuecomment-966699322</t>
  </si>
  <si>
    <t>https://github.com/ni/nimble/pull/260#discussion_r784963783</t>
  </si>
  <si>
    <t>https://github.com/Workday/canvas-kit/pull/1426#discussion_r787954027</t>
  </si>
  <si>
    <t>https://github.com/storybookjs/storybook/pull/17756#issuecomment-1246339422</t>
  </si>
  <si>
    <t>https://github.com/guardian/source/pull/1307#discussion_r836569925</t>
  </si>
  <si>
    <t>https://github.com/hackworthltd/primer-app/pull/332#issuecomment-1120316930</t>
  </si>
  <si>
    <t>https://github.com/jpmorganchase/salt-ds/pull/154#issuecomment-1148346047</t>
  </si>
  <si>
    <t>https://github.com/twilio-labs/paste/pull/2602#issuecomment-1261199307</t>
  </si>
  <si>
    <t>https://github.com/twilio-labs/paste/pull/2602#issuecomment-1261201874</t>
  </si>
  <si>
    <t>https://github.com/e-gov/cvi/pull/113#discussion_r1234043008</t>
  </si>
  <si>
    <t>https://github.com/ithaka/pharos/pull/570#issuecomment-1986490667</t>
  </si>
  <si>
    <t>https://github.com/homebound-team/beam/pull/900#issuecomment-1638520839</t>
  </si>
  <si>
    <t>https://github.com/backstage/backstage/pull/21482#issuecomment-1824354502</t>
  </si>
  <si>
    <t>https://github.com/coder/coder/pull/11609#discussion_r1455741535</t>
  </si>
  <si>
    <t>https://github.com/recharts/recharts/pull/4561#discussion_r1608891107</t>
  </si>
  <si>
    <t>https://github.com/ni/nimble/pull/2341#discussion_r1717040579</t>
  </si>
  <si>
    <t>https://github.com/4A2RfF5Q5x/learnstorybook-design-system/pull/2#issuecomment-2329949783</t>
  </si>
  <si>
    <t>https://github.com/nulogy/design-system/pull/1447#issuecomment-2402654032</t>
  </si>
  <si>
    <t>https://github.com/Esri/calcite-design-system/pull/10724#discussion_r1841150927</t>
  </si>
  <si>
    <t>https://github.com/coder/coder/pull/16020#issuecomment-2569139239</t>
  </si>
  <si>
    <t>https://github.com/sparkdotfi/spark-app/pull/82#issuecomment-2158348729</t>
  </si>
  <si>
    <t>https://github.com/sparkdotfi/spark-app/pull/334#discussion_r1793320556</t>
  </si>
  <si>
    <t>https://github.com/sparkdotfi/spark-app/pull/404#discussion_r1826323106</t>
  </si>
  <si>
    <t>https://github.com/tablecheck/tablekit/pull/122#issuecomment-1257712016</t>
  </si>
  <si>
    <t>←これはURLが見えない</t>
  </si>
  <si>
    <t>これは前のやつのclosed以外を弾いたやつかも．．？みてopenは弾いていると思うけどclosedは入ってるかも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</si>
  <si>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</si>
  <si>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</t>
  </si>
  <si>
    <t>LABEL</t>
  </si>
  <si>
    <t>PR_URL</t>
  </si>
  <si>
    <t>memo</t>
  </si>
  <si>
    <t>Menuタイトルのdropdownが開かない</t>
  </si>
  <si>
    <t>StorybookでCSSの色を上書きしたいのに、サイト本体の設定が読み込まれてしまい、意図した色にならない</t>
  </si>
  <si>
    <t>checkboxの空白が増えてる</t>
  </si>
  <si>
    <t>コード変更が，余白にも影響してる</t>
  </si>
  <si>
    <t>ストーリーブックがreadOnlyになったので変更依頼を出してる</t>
  </si>
  <si>
    <t>画像が勝手にトリミングされてる</t>
  </si>
  <si>
    <t>Chromatic側のスナップショット生成の問題</t>
  </si>
  <si>
    <t>一部のアイテムがずれてる</t>
  </si>
  <si>
    <t>CHromaticが開かない</t>
  </si>
  <si>
    <t>上と同じやつ？</t>
  </si>
  <si>
    <t>テストを増やすべきっていうコメント，リンクに問題はなさそう</t>
  </si>
  <si>
    <t>テキストのフォントを確認するだけ，リグレッションを検出してるわけではなさそう</t>
  </si>
  <si>
    <t>chromaticのバグ？</t>
  </si>
  <si>
    <t>PRのコメント参照</t>
  </si>
  <si>
    <t>Label still shows preset 1 but the value in the form is that of preset 2.</t>
  </si>
  <si>
    <t>コレはchromaticとかフロントエンドの問題というよりは，シナリオを修正すべきだと提案してるだけ</t>
  </si>
  <si>
    <t>コレはchromaticとかフロントエンドの問題というよりは，シナリオを消すべきだと提案してるだけ</t>
  </si>
  <si>
    <t>スナップショットの変更</t>
  </si>
  <si>
    <t>リグレッションの問題ではなく，アクセシビリティ改善の議論をしてる</t>
  </si>
  <si>
    <t>現在のスナップショットがテストの目的を果たしていない</t>
  </si>
  <si>
    <t>差分がない気がする</t>
  </si>
  <si>
    <t>Labelの設定を変更したため起こったVRT</t>
  </si>
  <si>
    <t>Category</t>
  </si>
  <si>
    <t>Layout</t>
  </si>
  <si>
    <t>Appearance</t>
  </si>
  <si>
    <t>Color</t>
  </si>
  <si>
    <t>Text</t>
  </si>
  <si>
    <t>State</t>
  </si>
  <si>
    <t>Test</t>
  </si>
  <si>
    <t>Image</t>
  </si>
  <si>
    <t>Valid Total</t>
  </si>
  <si>
    <t>Total</t>
  </si>
  <si>
    <t>duplicate link</t>
  </si>
  <si>
    <t>Inaccesible</t>
  </si>
  <si>
    <t>lack of context</t>
  </si>
  <si>
    <t>new story</t>
  </si>
  <si>
    <t>error</t>
  </si>
  <si>
    <t>LABEL(MIKU)</t>
  </si>
  <si>
    <t>LABEL (Horikawa)</t>
  </si>
  <si>
    <t>Conflict or no</t>
  </si>
  <si>
    <t>LABEL(Kashiwa)</t>
  </si>
  <si>
    <t>FINAL</t>
  </si>
  <si>
    <t>一致率</t>
  </si>
  <si>
    <t>https://github.com/Khan/wonder-blocks/pull/2689#discussion_r2172226608</t>
  </si>
  <si>
    <t>https://github.com/Sage/carbon/pull/7507#discussion_r2318309074</t>
  </si>
  <si>
    <t>合計</t>
  </si>
  <si>
    <t>重複を避けるため，返信内のリンクは対象外</t>
  </si>
  <si>
    <t>アクセスできないくて判断できないものは対象外</t>
  </si>
  <si>
    <t>クロマティックのエラーで表示できなく判断できないものは対象外</t>
  </si>
  <si>
    <t>新しいストーリーは差異の検出をしないので対象外</t>
  </si>
  <si>
    <t>VRTに関係ない議論は対象外</t>
  </si>
  <si>
    <t>Invalid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</si>
</sst>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0"/>
      <color theme="1"/>
      <name val="&quot;Google Sans Text&quot;"/>
    </font>
    <font>
      <sz val="10"/>
      <color rgb="FF000000"/>
      <name val="Arial"/>
      <family val="2"/>
      <scheme val="minor"/>
    </font>
    <font>
      <sz val="6"/>
      <name val="Arial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9" fillId="0" borderId="0" xfId="0" applyFont="1"/>
    <xf numFmtId="0" fontId="1" fillId="0" borderId="0" xfId="0" applyFont="1"/>
    <xf numFmtId="0" fontId="0" fillId="0" borderId="0" xfId="0"/>
    <xf numFmtId="0" fontId="10" fillId="0" borderId="0" xfId="0" applyFont="1"/>
  </cellXfs>
  <cellStyles count="1">
    <cellStyle name="標準" xfId="0" builtinId="0"/>
  </cellStyles>
  <dxfs count="1">
    <dxf>
      <fill>
        <patternFill patternType="solid">
          <fgColor rgb="FFE69138"/>
          <bgColor rgb="FFE6913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recharts/recharts/pull/4795" TargetMode="External"/><Relationship Id="rId299" Type="http://schemas.openxmlformats.org/officeDocument/2006/relationships/hyperlink" Target="https://github.com/ni/nimble/pull/834" TargetMode="External"/><Relationship Id="rId21" Type="http://schemas.openxmlformats.org/officeDocument/2006/relationships/hyperlink" Target="https://github.com/coder/coder/pull/7210" TargetMode="External"/><Relationship Id="rId63" Type="http://schemas.openxmlformats.org/officeDocument/2006/relationships/hyperlink" Target="https://github.com/daydule/frontend/pull/71" TargetMode="External"/><Relationship Id="rId159" Type="http://schemas.openxmlformats.org/officeDocument/2006/relationships/hyperlink" Target="https://github.com/department-of-veterans-affairs/component-library/pull/1487" TargetMode="External"/><Relationship Id="rId324" Type="http://schemas.openxmlformats.org/officeDocument/2006/relationships/hyperlink" Target="https://github.com/nodejs/nodejs.org/pull/7754" TargetMode="External"/><Relationship Id="rId170" Type="http://schemas.openxmlformats.org/officeDocument/2006/relationships/hyperlink" Target="https://github.com/cultureamp/kaizen-design-system/pull/1218" TargetMode="External"/><Relationship Id="rId226" Type="http://schemas.openxmlformats.org/officeDocument/2006/relationships/hyperlink" Target="https://github.com/guardian/dotcom-rendering/pull/3724" TargetMode="External"/><Relationship Id="rId268" Type="http://schemas.openxmlformats.org/officeDocument/2006/relationships/hyperlink" Target="https://github.com/coder/coder/pull/3189" TargetMode="External"/><Relationship Id="rId32" Type="http://schemas.openxmlformats.org/officeDocument/2006/relationships/hyperlink" Target="https://github.com/ni/nimble/pull/1335" TargetMode="External"/><Relationship Id="rId74" Type="http://schemas.openxmlformats.org/officeDocument/2006/relationships/hyperlink" Target="https://github.com/Esri/calcite-design-system/pull/8561" TargetMode="External"/><Relationship Id="rId128" Type="http://schemas.openxmlformats.org/officeDocument/2006/relationships/hyperlink" Target="https://github.com/evidence-dev/evidence/pull/2436" TargetMode="External"/><Relationship Id="rId335" Type="http://schemas.openxmlformats.org/officeDocument/2006/relationships/hyperlink" Target="https://github.com/Khan/perseus/pull/2728" TargetMode="External"/><Relationship Id="rId5" Type="http://schemas.openxmlformats.org/officeDocument/2006/relationships/hyperlink" Target="https://github.com/GCTC-NTGC/gc-digital-talent/pull/5740" TargetMode="External"/><Relationship Id="rId181" Type="http://schemas.openxmlformats.org/officeDocument/2006/relationships/hyperlink" Target="https://github.com/adobe/react-spectrum/pull/2057" TargetMode="External"/><Relationship Id="rId237" Type="http://schemas.openxmlformats.org/officeDocument/2006/relationships/hyperlink" Target="https://github.com/chanzuckerberg/edu-design-system/pull/921" TargetMode="External"/><Relationship Id="rId279" Type="http://schemas.openxmlformats.org/officeDocument/2006/relationships/hyperlink" Target="https://github.com/razorpay/blade/pull/634" TargetMode="External"/><Relationship Id="rId43" Type="http://schemas.openxmlformats.org/officeDocument/2006/relationships/hyperlink" Target="https://github.com/solid-design-system/solid/pull/318" TargetMode="External"/><Relationship Id="rId139" Type="http://schemas.openxmlformats.org/officeDocument/2006/relationships/hyperlink" Target="https://github.com/guardian/dotcom-rendering/pull/12298" TargetMode="External"/><Relationship Id="rId290" Type="http://schemas.openxmlformats.org/officeDocument/2006/relationships/hyperlink" Target="https://github.com/chanzuckerberg/edu-design-system/pull/1346" TargetMode="External"/><Relationship Id="rId304" Type="http://schemas.openxmlformats.org/officeDocument/2006/relationships/hyperlink" Target="https://github.com/DouyinFE/semi-design/pull/1317" TargetMode="External"/><Relationship Id="rId85" Type="http://schemas.openxmlformats.org/officeDocument/2006/relationships/hyperlink" Target="https://github.com/storybookjs/storybook/pull/26254" TargetMode="External"/><Relationship Id="rId150" Type="http://schemas.openxmlformats.org/officeDocument/2006/relationships/hyperlink" Target="https://github.com/fortanix/baklava/pull/54" TargetMode="External"/><Relationship Id="rId192" Type="http://schemas.openxmlformats.org/officeDocument/2006/relationships/hyperlink" Target="https://github.com/gravitee-io/gravitee-ui-components/pull/401" TargetMode="External"/><Relationship Id="rId206" Type="http://schemas.openxmlformats.org/officeDocument/2006/relationships/hyperlink" Target="https://github.com/WPMedia/arc-themes-blocks/pull/1092" TargetMode="External"/><Relationship Id="rId248" Type="http://schemas.openxmlformats.org/officeDocument/2006/relationships/hyperlink" Target="https://github.com/adobe/react-spectrum/pull/3132" TargetMode="External"/><Relationship Id="rId12" Type="http://schemas.openxmlformats.org/officeDocument/2006/relationships/hyperlink" Target="https://github.com/NeurodataWithoutBorders/nwb-guide/pull/74" TargetMode="External"/><Relationship Id="rId108" Type="http://schemas.openxmlformats.org/officeDocument/2006/relationships/hyperlink" Target="https://github.com/misskey-dev/misskey/pull/13779" TargetMode="External"/><Relationship Id="rId315" Type="http://schemas.openxmlformats.org/officeDocument/2006/relationships/hyperlink" Target="https://github.com/Khan/wonder-blocks/pull/2508" TargetMode="External"/><Relationship Id="rId54" Type="http://schemas.openxmlformats.org/officeDocument/2006/relationships/hyperlink" Target="https://github.com/recharts/recharts/pull/3908" TargetMode="External"/><Relationship Id="rId96" Type="http://schemas.openxmlformats.org/officeDocument/2006/relationships/hyperlink" Target="https://github.com/ethereum/ethereum-org-website/pull/12639" TargetMode="External"/><Relationship Id="rId161" Type="http://schemas.openxmlformats.org/officeDocument/2006/relationships/hyperlink" Target="https://github.com/curology/radiance-ui/pull/642" TargetMode="External"/><Relationship Id="rId217" Type="http://schemas.openxmlformats.org/officeDocument/2006/relationships/hyperlink" Target="https://github.com/dpc-sdp/ripple/pull/1111" TargetMode="External"/><Relationship Id="rId259" Type="http://schemas.openxmlformats.org/officeDocument/2006/relationships/hyperlink" Target="https://github.com/WPMedia/arc-themes-blocks/pull/1386" TargetMode="External"/><Relationship Id="rId23" Type="http://schemas.openxmlformats.org/officeDocument/2006/relationships/hyperlink" Target="https://github.com/storybookjs/storybook/pull/22336" TargetMode="External"/><Relationship Id="rId119" Type="http://schemas.openxmlformats.org/officeDocument/2006/relationships/hyperlink" Target="https://github.com/ni/nimble/pull/2315" TargetMode="External"/><Relationship Id="rId270" Type="http://schemas.openxmlformats.org/officeDocument/2006/relationships/hyperlink" Target="https://github.com/WPMedia/arc-themes-components/pull/121" TargetMode="External"/><Relationship Id="rId326" Type="http://schemas.openxmlformats.org/officeDocument/2006/relationships/hyperlink" Target="https://github.com/storacha/bluesky-backup-webapp-server/pull/171" TargetMode="External"/><Relationship Id="rId65" Type="http://schemas.openxmlformats.org/officeDocument/2006/relationships/hyperlink" Target="https://github.com/guardian/dotcom-rendering/pull/9792" TargetMode="External"/><Relationship Id="rId130" Type="http://schemas.openxmlformats.org/officeDocument/2006/relationships/hyperlink" Target="https://github.com/Khan/wonder-blocks/pull/2309" TargetMode="External"/><Relationship Id="rId172" Type="http://schemas.openxmlformats.org/officeDocument/2006/relationships/hyperlink" Target="https://github.com/storybookjs/storybook/pull/14251" TargetMode="External"/><Relationship Id="rId228" Type="http://schemas.openxmlformats.org/officeDocument/2006/relationships/hyperlink" Target="https://github.com/hackworthltd/primer-app/pull/213" TargetMode="External"/><Relationship Id="rId281" Type="http://schemas.openxmlformats.org/officeDocument/2006/relationships/hyperlink" Target="https://github.com/launchdarkly/launchpad-ui/pull/351" TargetMode="External"/><Relationship Id="rId337" Type="http://schemas.openxmlformats.org/officeDocument/2006/relationships/hyperlink" Target="https://github.com/Khan/wonder-blocks/pull/2715" TargetMode="External"/><Relationship Id="rId34" Type="http://schemas.openxmlformats.org/officeDocument/2006/relationships/hyperlink" Target="https://github.com/chromaui/addon-visual-tests/pull/22" TargetMode="External"/><Relationship Id="rId76" Type="http://schemas.openxmlformats.org/officeDocument/2006/relationships/hyperlink" Target="https://github.com/kufu/smarthr-ui/pull/4182" TargetMode="External"/><Relationship Id="rId141" Type="http://schemas.openxmlformats.org/officeDocument/2006/relationships/hyperlink" Target="https://github.com/adobe/react-spectrum/pull/7284" TargetMode="External"/><Relationship Id="rId7" Type="http://schemas.openxmlformats.org/officeDocument/2006/relationships/hyperlink" Target="https://github.com/guardian/dotcom-rendering/pull/7128" TargetMode="External"/><Relationship Id="rId183" Type="http://schemas.openxmlformats.org/officeDocument/2006/relationships/hyperlink" Target="https://github.com/getappmap/appmap-js/pull/255" TargetMode="External"/><Relationship Id="rId239" Type="http://schemas.openxmlformats.org/officeDocument/2006/relationships/hyperlink" Target="https://github.com/curology/radiance-ui/pull/1470" TargetMode="External"/><Relationship Id="rId250" Type="http://schemas.openxmlformats.org/officeDocument/2006/relationships/hyperlink" Target="https://github.com/WPMedia/arc-themes-blocks/pull/1365" TargetMode="External"/><Relationship Id="rId292" Type="http://schemas.openxmlformats.org/officeDocument/2006/relationships/hyperlink" Target="https://github.com/coder/coder/pull/4810" TargetMode="External"/><Relationship Id="rId306" Type="http://schemas.openxmlformats.org/officeDocument/2006/relationships/hyperlink" Target="https://github.com/ni/nimble/pull/927" TargetMode="External"/><Relationship Id="rId45" Type="http://schemas.openxmlformats.org/officeDocument/2006/relationships/hyperlink" Target="https://github.com/guardian/dotcom-rendering/pull/8478" TargetMode="External"/><Relationship Id="rId87" Type="http://schemas.openxmlformats.org/officeDocument/2006/relationships/hyperlink" Target="https://github.com/ethereum/ethereum-org-website/pull/12594" TargetMode="External"/><Relationship Id="rId110" Type="http://schemas.openxmlformats.org/officeDocument/2006/relationships/hyperlink" Target="https://github.com/ni/nimble/pull/2167" TargetMode="External"/><Relationship Id="rId152" Type="http://schemas.openxmlformats.org/officeDocument/2006/relationships/hyperlink" Target="https://github.com/ithaka/pharos/pull/862" TargetMode="External"/><Relationship Id="rId194" Type="http://schemas.openxmlformats.org/officeDocument/2006/relationships/hyperlink" Target="https://github.com/sberdevices/plasma/pull/676" TargetMode="External"/><Relationship Id="rId208" Type="http://schemas.openxmlformats.org/officeDocument/2006/relationships/hyperlink" Target="https://github.com/storybookjs/storybook/pull/16178" TargetMode="External"/><Relationship Id="rId240" Type="http://schemas.openxmlformats.org/officeDocument/2006/relationships/hyperlink" Target="https://github.com/metmuseum/marble/pull/185" TargetMode="External"/><Relationship Id="rId261" Type="http://schemas.openxmlformats.org/officeDocument/2006/relationships/hyperlink" Target="https://github.com/ni/nimble/pull/609" TargetMode="External"/><Relationship Id="rId14" Type="http://schemas.openxmlformats.org/officeDocument/2006/relationships/hyperlink" Target="https://github.com/seek-oss/braid-design-system/pull/1240" TargetMode="External"/><Relationship Id="rId35" Type="http://schemas.openxmlformats.org/officeDocument/2006/relationships/hyperlink" Target="https://github.com/contentful/forma-36/pull/2520" TargetMode="External"/><Relationship Id="rId56" Type="http://schemas.openxmlformats.org/officeDocument/2006/relationships/hyperlink" Target="https://github.com/navikt/aksel/pull/2395" TargetMode="External"/><Relationship Id="rId77" Type="http://schemas.openxmlformats.org/officeDocument/2006/relationships/hyperlink" Target="https://github.com/NeurodataWithoutBorders/nwb-guide/pull/555" TargetMode="External"/><Relationship Id="rId100" Type="http://schemas.openxmlformats.org/officeDocument/2006/relationships/hyperlink" Target="https://github.com/appsmithorg/appsmith/pull/32857" TargetMode="External"/><Relationship Id="rId282" Type="http://schemas.openxmlformats.org/officeDocument/2006/relationships/hyperlink" Target="https://github.com/storybookjs/storybook/pull/19189" TargetMode="External"/><Relationship Id="rId317" Type="http://schemas.openxmlformats.org/officeDocument/2006/relationships/hyperlink" Target="https://github.com/ory/elements/pull/371" TargetMode="External"/><Relationship Id="rId338" Type="http://schemas.openxmlformats.org/officeDocument/2006/relationships/hyperlink" Target="https://github.com/Khan/wonder-blocks/pull/2766" TargetMode="External"/><Relationship Id="rId8" Type="http://schemas.openxmlformats.org/officeDocument/2006/relationships/hyperlink" Target="https://github.com/guardian/dotcom-rendering/pull/7128" TargetMode="External"/><Relationship Id="rId98" Type="http://schemas.openxmlformats.org/officeDocument/2006/relationships/hyperlink" Target="https://github.com/coder/coder/pull/13031" TargetMode="External"/><Relationship Id="rId121" Type="http://schemas.openxmlformats.org/officeDocument/2006/relationships/hyperlink" Target="https://github.com/sillsdev/web-xforge/pull/2557" TargetMode="External"/><Relationship Id="rId142" Type="http://schemas.openxmlformats.org/officeDocument/2006/relationships/hyperlink" Target="https://github.com/Esri/calcite-design-system/pull/10621" TargetMode="External"/><Relationship Id="rId163" Type="http://schemas.openxmlformats.org/officeDocument/2006/relationships/hyperlink" Target="https://github.com/storybookjs/storybook/pull/13685" TargetMode="External"/><Relationship Id="rId184" Type="http://schemas.openxmlformats.org/officeDocument/2006/relationships/hyperlink" Target="https://github.com/microsoft/iot-cardboard-js/pull/78" TargetMode="External"/><Relationship Id="rId219" Type="http://schemas.openxmlformats.org/officeDocument/2006/relationships/hyperlink" Target="https://github.com/titicacadev/triple-frontend/pull/1762" TargetMode="External"/><Relationship Id="rId230" Type="http://schemas.openxmlformats.org/officeDocument/2006/relationships/hyperlink" Target="https://github.com/guardian/dotcom-rendering/pull/3823" TargetMode="External"/><Relationship Id="rId251" Type="http://schemas.openxmlformats.org/officeDocument/2006/relationships/hyperlink" Target="https://github.com/chanzuckerberg/edu-design-system/pull/1083" TargetMode="External"/><Relationship Id="rId25" Type="http://schemas.openxmlformats.org/officeDocument/2006/relationships/hyperlink" Target="https://github.com/ForgeRock/forgerock-web-login-framework/pull/121" TargetMode="External"/><Relationship Id="rId46" Type="http://schemas.openxmlformats.org/officeDocument/2006/relationships/hyperlink" Target="https://github.com/adobe/react-spectrum/pull/4972" TargetMode="External"/><Relationship Id="rId67" Type="http://schemas.openxmlformats.org/officeDocument/2006/relationships/hyperlink" Target="https://github.com/AmazeeLabs/silverback-template/pull/132" TargetMode="External"/><Relationship Id="rId272" Type="http://schemas.openxmlformats.org/officeDocument/2006/relationships/hyperlink" Target="https://github.com/guardian/dotcom-rendering/pull/5529" TargetMode="External"/><Relationship Id="rId293" Type="http://schemas.openxmlformats.org/officeDocument/2006/relationships/hyperlink" Target="https://github.com/guardian/dotcom-rendering/pull/6258" TargetMode="External"/><Relationship Id="rId307" Type="http://schemas.openxmlformats.org/officeDocument/2006/relationships/hyperlink" Target="https://github.com/chanzuckerberg/edu-design-system/pull/1440" TargetMode="External"/><Relationship Id="rId328" Type="http://schemas.openxmlformats.org/officeDocument/2006/relationships/hyperlink" Target="https://github.com/Khan/wonder-blocks/pull/2602" TargetMode="External"/><Relationship Id="rId88" Type="http://schemas.openxmlformats.org/officeDocument/2006/relationships/hyperlink" Target="https://github.com/kufu/smarthr-ui/pull/4479" TargetMode="External"/><Relationship Id="rId111" Type="http://schemas.openxmlformats.org/officeDocument/2006/relationships/hyperlink" Target="https://github.com/ni/nimble/pull/2167" TargetMode="External"/><Relationship Id="rId132" Type="http://schemas.openxmlformats.org/officeDocument/2006/relationships/hyperlink" Target="https://github.com/chromaui/chromatic-e2e/pull/207" TargetMode="External"/><Relationship Id="rId153" Type="http://schemas.openxmlformats.org/officeDocument/2006/relationships/hyperlink" Target="https://github.com/epicmaxco/vuestic-ui/pull/4451" TargetMode="External"/><Relationship Id="rId174" Type="http://schemas.openxmlformats.org/officeDocument/2006/relationships/hyperlink" Target="https://github.com/homebound-team/beam/pull/61" TargetMode="External"/><Relationship Id="rId195" Type="http://schemas.openxmlformats.org/officeDocument/2006/relationships/hyperlink" Target="https://github.com/sberdevices/plasma/pull/676" TargetMode="External"/><Relationship Id="rId209" Type="http://schemas.openxmlformats.org/officeDocument/2006/relationships/hyperlink" Target="https://github.com/BBC-archive/psammead/pull/4548" TargetMode="External"/><Relationship Id="rId220" Type="http://schemas.openxmlformats.org/officeDocument/2006/relationships/hyperlink" Target="https://github.com/titicacadev/triple-frontend/pull/1754" TargetMode="External"/><Relationship Id="rId241" Type="http://schemas.openxmlformats.org/officeDocument/2006/relationships/hyperlink" Target="https://github.com/coder/coder/pull/981" TargetMode="External"/><Relationship Id="rId15" Type="http://schemas.openxmlformats.org/officeDocument/2006/relationships/hyperlink" Target="https://github.com/contentful/forma-36/pull/2436" TargetMode="External"/><Relationship Id="rId36" Type="http://schemas.openxmlformats.org/officeDocument/2006/relationships/hyperlink" Target="https://github.com/isomerpages/isomercms-frontend/pull/1398" TargetMode="External"/><Relationship Id="rId57" Type="http://schemas.openxmlformats.org/officeDocument/2006/relationships/hyperlink" Target="https://github.com/storybookjs/storybook/pull/24395" TargetMode="External"/><Relationship Id="rId262" Type="http://schemas.openxmlformats.org/officeDocument/2006/relationships/hyperlink" Target="https://github.com/homebound-team/beam/pull/550" TargetMode="External"/><Relationship Id="rId283" Type="http://schemas.openxmlformats.org/officeDocument/2006/relationships/hyperlink" Target="https://github.com/dpc-sdp/ripple-framework/pull/224" TargetMode="External"/><Relationship Id="rId318" Type="http://schemas.openxmlformats.org/officeDocument/2006/relationships/hyperlink" Target="https://github.com/nl-design-system/denhaag/pull/1709" TargetMode="External"/><Relationship Id="rId339" Type="http://schemas.openxmlformats.org/officeDocument/2006/relationships/hyperlink" Target="https://github.com/Khan/wonder-blocks/pull/2758" TargetMode="External"/><Relationship Id="rId78" Type="http://schemas.openxmlformats.org/officeDocument/2006/relationships/hyperlink" Target="https://github.com/storybookjs/storybook/pull/25460" TargetMode="External"/><Relationship Id="rId99" Type="http://schemas.openxmlformats.org/officeDocument/2006/relationships/hyperlink" Target="https://github.com/recharts/recharts/pull/4441" TargetMode="External"/><Relationship Id="rId101" Type="http://schemas.openxmlformats.org/officeDocument/2006/relationships/hyperlink" Target="https://github.com/kufu/smarthr-ui/pull/4626" TargetMode="External"/><Relationship Id="rId122" Type="http://schemas.openxmlformats.org/officeDocument/2006/relationships/hyperlink" Target="https://github.com/Esri/calcite-design-system/pull/9969" TargetMode="External"/><Relationship Id="rId143" Type="http://schemas.openxmlformats.org/officeDocument/2006/relationships/hyperlink" Target="https://github.com/VOICEVOX/voicevox/pull/2287" TargetMode="External"/><Relationship Id="rId164" Type="http://schemas.openxmlformats.org/officeDocument/2006/relationships/hyperlink" Target="https://github.com/contentful/forma-36/pull/757" TargetMode="External"/><Relationship Id="rId185" Type="http://schemas.openxmlformats.org/officeDocument/2006/relationships/hyperlink" Target="https://github.com/ntls-io/nautilus-wallet/pull/28" TargetMode="External"/><Relationship Id="rId9" Type="http://schemas.openxmlformats.org/officeDocument/2006/relationships/hyperlink" Target="https://github.com/guardian/dotcom-rendering/pull/7128" TargetMode="External"/><Relationship Id="rId210" Type="http://schemas.openxmlformats.org/officeDocument/2006/relationships/hyperlink" Target="https://github.com/proeco/proeco-client/pull/147" TargetMode="External"/><Relationship Id="rId26" Type="http://schemas.openxmlformats.org/officeDocument/2006/relationships/hyperlink" Target="https://github.com/danskernesdigitalebibliotek/dpl-design-system/pull/239" TargetMode="External"/><Relationship Id="rId231" Type="http://schemas.openxmlformats.org/officeDocument/2006/relationships/hyperlink" Target="https://github.com/guardian/dotcom-rendering/pull/3988" TargetMode="External"/><Relationship Id="rId252" Type="http://schemas.openxmlformats.org/officeDocument/2006/relationships/hyperlink" Target="https://github.com/GCTC-NTGC/gc-digital-talent/pull/2728" TargetMode="External"/><Relationship Id="rId273" Type="http://schemas.openxmlformats.org/officeDocument/2006/relationships/hyperlink" Target="https://github.com/bitwarden/clients/pull/3372" TargetMode="External"/><Relationship Id="rId294" Type="http://schemas.openxmlformats.org/officeDocument/2006/relationships/hyperlink" Target="https://github.com/guardian/dotcom-rendering/pull/6235" TargetMode="External"/><Relationship Id="rId308" Type="http://schemas.openxmlformats.org/officeDocument/2006/relationships/hyperlink" Target="https://github.com/chanzuckerberg/edu-design-system/pull/1440" TargetMode="External"/><Relationship Id="rId329" Type="http://schemas.openxmlformats.org/officeDocument/2006/relationships/hyperlink" Target="https://github.com/Khan/wonder-blocks/pull/2600" TargetMode="External"/><Relationship Id="rId47" Type="http://schemas.openxmlformats.org/officeDocument/2006/relationships/hyperlink" Target="https://github.com/guardian/dotcom-rendering/pull/8633" TargetMode="External"/><Relationship Id="rId68" Type="http://schemas.openxmlformats.org/officeDocument/2006/relationships/hyperlink" Target="https://github.com/AmazeeLabs/silverback-template/pull/132" TargetMode="External"/><Relationship Id="rId89" Type="http://schemas.openxmlformats.org/officeDocument/2006/relationships/hyperlink" Target="https://github.com/danskernesdigitalebibliotek/dpl-design-system/pull/542" TargetMode="External"/><Relationship Id="rId112" Type="http://schemas.openxmlformats.org/officeDocument/2006/relationships/hyperlink" Target="https://github.com/Sage/carbon/pull/6795" TargetMode="External"/><Relationship Id="rId133" Type="http://schemas.openxmlformats.org/officeDocument/2006/relationships/hyperlink" Target="https://github.com/chromaui/chromatic-e2e/pull/207" TargetMode="External"/><Relationship Id="rId154" Type="http://schemas.openxmlformats.org/officeDocument/2006/relationships/hyperlink" Target="https://github.com/coder/coder/pull/16134" TargetMode="External"/><Relationship Id="rId175" Type="http://schemas.openxmlformats.org/officeDocument/2006/relationships/hyperlink" Target="https://github.com/metmuseum/marble/pull/121" TargetMode="External"/><Relationship Id="rId340" Type="http://schemas.openxmlformats.org/officeDocument/2006/relationships/hyperlink" Target="https://github.com/coder/coder/pull/19753" TargetMode="External"/><Relationship Id="rId196" Type="http://schemas.openxmlformats.org/officeDocument/2006/relationships/hyperlink" Target="https://github.com/WPMedia/arc-themes-blocks/pull/1019" TargetMode="External"/><Relationship Id="rId200" Type="http://schemas.openxmlformats.org/officeDocument/2006/relationships/hyperlink" Target="https://github.com/guardian/gateway/pull/791" TargetMode="External"/><Relationship Id="rId16" Type="http://schemas.openxmlformats.org/officeDocument/2006/relationships/hyperlink" Target="https://github.com/contentful/forma-36/pull/2436" TargetMode="External"/><Relationship Id="rId221" Type="http://schemas.openxmlformats.org/officeDocument/2006/relationships/hyperlink" Target="https://github.com/titicacadev/triple-frontend/pull/1754" TargetMode="External"/><Relationship Id="rId242" Type="http://schemas.openxmlformats.org/officeDocument/2006/relationships/hyperlink" Target="https://github.com/WPMedia/arc-themes-blocks/pull/1347" TargetMode="External"/><Relationship Id="rId263" Type="http://schemas.openxmlformats.org/officeDocument/2006/relationships/hyperlink" Target="https://github.com/WPMedia/arc-themes-blocks/pull/1411" TargetMode="External"/><Relationship Id="rId284" Type="http://schemas.openxmlformats.org/officeDocument/2006/relationships/hyperlink" Target="https://github.com/GCTC-NTGC/gc-digital-talent/pull/3865" TargetMode="External"/><Relationship Id="rId319" Type="http://schemas.openxmlformats.org/officeDocument/2006/relationships/hyperlink" Target="https://github.com/adobe/spectrum-css/pull/3593" TargetMode="External"/><Relationship Id="rId37" Type="http://schemas.openxmlformats.org/officeDocument/2006/relationships/hyperlink" Target="https://github.com/isomerpages/isomercms-frontend/pull/1435" TargetMode="External"/><Relationship Id="rId58" Type="http://schemas.openxmlformats.org/officeDocument/2006/relationships/hyperlink" Target="https://github.com/kufu/smarthr-ui/pull/3975" TargetMode="External"/><Relationship Id="rId79" Type="http://schemas.openxmlformats.org/officeDocument/2006/relationships/hyperlink" Target="https://github.com/ni/nimble/pull/1791" TargetMode="External"/><Relationship Id="rId102" Type="http://schemas.openxmlformats.org/officeDocument/2006/relationships/hyperlink" Target="https://github.com/misskey-dev/misskey/pull/13830" TargetMode="External"/><Relationship Id="rId123" Type="http://schemas.openxmlformats.org/officeDocument/2006/relationships/hyperlink" Target="https://github.com/adobe/react-spectrum/pull/6965" TargetMode="External"/><Relationship Id="rId144" Type="http://schemas.openxmlformats.org/officeDocument/2006/relationships/hyperlink" Target="https://github.com/Longhorn-Developers/UT-Registration-Plus/pull/425" TargetMode="External"/><Relationship Id="rId330" Type="http://schemas.openxmlformats.org/officeDocument/2006/relationships/hyperlink" Target="https://github.com/recharts/recharts/pull/6008" TargetMode="External"/><Relationship Id="rId90" Type="http://schemas.openxmlformats.org/officeDocument/2006/relationships/hyperlink" Target="https://github.com/navikt/aksel/pull/2795" TargetMode="External"/><Relationship Id="rId165" Type="http://schemas.openxmlformats.org/officeDocument/2006/relationships/hyperlink" Target="https://github.com/contentful/forma-36/pull/757" TargetMode="External"/><Relationship Id="rId186" Type="http://schemas.openxmlformats.org/officeDocument/2006/relationships/hyperlink" Target="https://github.com/ntls-io/nautilus-wallet/pull/28" TargetMode="External"/><Relationship Id="rId211" Type="http://schemas.openxmlformats.org/officeDocument/2006/relationships/hyperlink" Target="https://github.com/guardian/dotcom-rendering/pull/3519" TargetMode="External"/><Relationship Id="rId232" Type="http://schemas.openxmlformats.org/officeDocument/2006/relationships/hyperlink" Target="https://github.com/guardian/dotcom-rendering/pull/3897" TargetMode="External"/><Relationship Id="rId253" Type="http://schemas.openxmlformats.org/officeDocument/2006/relationships/hyperlink" Target="https://github.com/GCTC-NTGC/gc-digital-talent/pull/2728" TargetMode="External"/><Relationship Id="rId274" Type="http://schemas.openxmlformats.org/officeDocument/2006/relationships/hyperlink" Target="https://github.com/WPMedia/arc-themes-blocks/pull/1481" TargetMode="External"/><Relationship Id="rId295" Type="http://schemas.openxmlformats.org/officeDocument/2006/relationships/hyperlink" Target="https://github.com/Trendyol/baklava/pull/327" TargetMode="External"/><Relationship Id="rId309" Type="http://schemas.openxmlformats.org/officeDocument/2006/relationships/hyperlink" Target="https://github.com/serendie/serendie/pull/28" TargetMode="External"/><Relationship Id="rId27" Type="http://schemas.openxmlformats.org/officeDocument/2006/relationships/hyperlink" Target="https://github.com/NeurodataWithoutBorders/nwb-guide/pull/219" TargetMode="External"/><Relationship Id="rId48" Type="http://schemas.openxmlformats.org/officeDocument/2006/relationships/hyperlink" Target="https://github.com/chromaui/addon-visual-tests/pull/69" TargetMode="External"/><Relationship Id="rId69" Type="http://schemas.openxmlformats.org/officeDocument/2006/relationships/hyperlink" Target="https://github.com/adobe/react-spectrum/pull/5705" TargetMode="External"/><Relationship Id="rId113" Type="http://schemas.openxmlformats.org/officeDocument/2006/relationships/hyperlink" Target="https://github.com/jpmorganchase/salt-ds/pull/3551" TargetMode="External"/><Relationship Id="rId134" Type="http://schemas.openxmlformats.org/officeDocument/2006/relationships/hyperlink" Target="https://github.com/Esri/calcite-design-system/pull/10343" TargetMode="External"/><Relationship Id="rId320" Type="http://schemas.openxmlformats.org/officeDocument/2006/relationships/hyperlink" Target="https://github.com/nodejs/nodejs.org/pull/7638" TargetMode="External"/><Relationship Id="rId80" Type="http://schemas.openxmlformats.org/officeDocument/2006/relationships/hyperlink" Target="https://github.com/danskernesdigitalebibliotek/dpl-design-system/pull/518" TargetMode="External"/><Relationship Id="rId155" Type="http://schemas.openxmlformats.org/officeDocument/2006/relationships/hyperlink" Target="https://github.com/kufu/smarthr-ui/pull/5307" TargetMode="External"/><Relationship Id="rId176" Type="http://schemas.openxmlformats.org/officeDocument/2006/relationships/hyperlink" Target="https://github.com/storybookjs/storybook/pull/15059" TargetMode="External"/><Relationship Id="rId197" Type="http://schemas.openxmlformats.org/officeDocument/2006/relationships/hyperlink" Target="https://github.com/WPMedia/arc-themes-blocks/pull/1019" TargetMode="External"/><Relationship Id="rId341" Type="http://schemas.openxmlformats.org/officeDocument/2006/relationships/hyperlink" Target="https://github.com/adobe/react-spectrum/pull/8893" TargetMode="External"/><Relationship Id="rId201" Type="http://schemas.openxmlformats.org/officeDocument/2006/relationships/hyperlink" Target="https://github.com/guardian/gateway/pull/791" TargetMode="External"/><Relationship Id="rId222" Type="http://schemas.openxmlformats.org/officeDocument/2006/relationships/hyperlink" Target="https://github.com/homebound-team/beam/pull/409" TargetMode="External"/><Relationship Id="rId243" Type="http://schemas.openxmlformats.org/officeDocument/2006/relationships/hyperlink" Target="https://github.com/WPMedia/arc-themes-blocks/pull/1345" TargetMode="External"/><Relationship Id="rId264" Type="http://schemas.openxmlformats.org/officeDocument/2006/relationships/hyperlink" Target="https://github.com/WPMedia/arc-themes-blocks/pull/1411" TargetMode="External"/><Relationship Id="rId285" Type="http://schemas.openxmlformats.org/officeDocument/2006/relationships/hyperlink" Target="https://github.com/storybookjs/components-marketing/pull/35" TargetMode="External"/><Relationship Id="rId17" Type="http://schemas.openxmlformats.org/officeDocument/2006/relationships/hyperlink" Target="https://github.com/contentful/forma-36/pull/2430" TargetMode="External"/><Relationship Id="rId38" Type="http://schemas.openxmlformats.org/officeDocument/2006/relationships/hyperlink" Target="https://github.com/isomerpages/isomercms-frontend/pull/1396" TargetMode="External"/><Relationship Id="rId59" Type="http://schemas.openxmlformats.org/officeDocument/2006/relationships/hyperlink" Target="https://github.com/kufu/smarthr-ui/pull/3975" TargetMode="External"/><Relationship Id="rId103" Type="http://schemas.openxmlformats.org/officeDocument/2006/relationships/hyperlink" Target="https://github.com/cloudblue/connect-ui-toolkit/pull/92" TargetMode="External"/><Relationship Id="rId124" Type="http://schemas.openxmlformats.org/officeDocument/2006/relationships/hyperlink" Target="https://github.com/DouyinFE/semi-design/pull/2431" TargetMode="External"/><Relationship Id="rId310" Type="http://schemas.openxmlformats.org/officeDocument/2006/relationships/hyperlink" Target="https://github.com/department-of-veterans-affairs/component-library/pull/1487" TargetMode="External"/><Relationship Id="rId70" Type="http://schemas.openxmlformats.org/officeDocument/2006/relationships/hyperlink" Target="https://github.com/adobe/react-spectrum/pull/5705" TargetMode="External"/><Relationship Id="rId91" Type="http://schemas.openxmlformats.org/officeDocument/2006/relationships/hyperlink" Target="https://github.com/Crystal-Creations-GbR/crystal-components/pull/70" TargetMode="External"/><Relationship Id="rId145" Type="http://schemas.openxmlformats.org/officeDocument/2006/relationships/hyperlink" Target="https://github.com/Sage/carbon/pull/7091" TargetMode="External"/><Relationship Id="rId166" Type="http://schemas.openxmlformats.org/officeDocument/2006/relationships/hyperlink" Target="https://github.com/getappmap/appmap-js/pull/32" TargetMode="External"/><Relationship Id="rId187" Type="http://schemas.openxmlformats.org/officeDocument/2006/relationships/hyperlink" Target="https://github.com/ntls-io/nautilus-wallet/pull/23" TargetMode="External"/><Relationship Id="rId331" Type="http://schemas.openxmlformats.org/officeDocument/2006/relationships/hyperlink" Target="https://github.com/Khan/wonder-blocks/pull/2661" TargetMode="External"/><Relationship Id="rId1" Type="http://schemas.openxmlformats.org/officeDocument/2006/relationships/hyperlink" Target="https://github.com/storybookjs/storybook/pull/20712" TargetMode="External"/><Relationship Id="rId212" Type="http://schemas.openxmlformats.org/officeDocument/2006/relationships/hyperlink" Target="https://github.com/hackworthltd/primer-app/pull/112" TargetMode="External"/><Relationship Id="rId233" Type="http://schemas.openxmlformats.org/officeDocument/2006/relationships/hyperlink" Target="https://github.com/chanzuckerberg/edu-design-system/pull/893" TargetMode="External"/><Relationship Id="rId254" Type="http://schemas.openxmlformats.org/officeDocument/2006/relationships/hyperlink" Target="https://github.com/GCTC-NTGC/gc-digital-talent/pull/2728" TargetMode="External"/><Relationship Id="rId28" Type="http://schemas.openxmlformats.org/officeDocument/2006/relationships/hyperlink" Target="https://github.com/input-output-hk/lace/pull/128" TargetMode="External"/><Relationship Id="rId49" Type="http://schemas.openxmlformats.org/officeDocument/2006/relationships/hyperlink" Target="https://github.com/storybookjs/storybook/pull/24146" TargetMode="External"/><Relationship Id="rId114" Type="http://schemas.openxmlformats.org/officeDocument/2006/relationships/hyperlink" Target="https://github.com/ni/nimble/pull/2189" TargetMode="External"/><Relationship Id="rId275" Type="http://schemas.openxmlformats.org/officeDocument/2006/relationships/hyperlink" Target="https://github.com/WPMedia/arc-themes-blocks/pull/1481" TargetMode="External"/><Relationship Id="rId296" Type="http://schemas.openxmlformats.org/officeDocument/2006/relationships/hyperlink" Target="https://github.com/iterative/vscode-dvc/pull/2850" TargetMode="External"/><Relationship Id="rId300" Type="http://schemas.openxmlformats.org/officeDocument/2006/relationships/hyperlink" Target="https://github.com/sbb-design-systems/lyne-components/pull/1461" TargetMode="External"/><Relationship Id="rId60" Type="http://schemas.openxmlformats.org/officeDocument/2006/relationships/hyperlink" Target="https://github.com/guardian/support-frontend/pull/5429" TargetMode="External"/><Relationship Id="rId81" Type="http://schemas.openxmlformats.org/officeDocument/2006/relationships/hyperlink" Target="https://github.com/adobe/react-spectrum/pull/5941" TargetMode="External"/><Relationship Id="rId135" Type="http://schemas.openxmlformats.org/officeDocument/2006/relationships/hyperlink" Target="https://github.com/chromaui/chromatic-e2e/pull/203" TargetMode="External"/><Relationship Id="rId156" Type="http://schemas.openxmlformats.org/officeDocument/2006/relationships/hyperlink" Target="https://github.com/Esri/calcite-design-system/pull/11215" TargetMode="External"/><Relationship Id="rId177" Type="http://schemas.openxmlformats.org/officeDocument/2006/relationships/hyperlink" Target="https://github.com/ithaka/pharos/pull/36" TargetMode="External"/><Relationship Id="rId198" Type="http://schemas.openxmlformats.org/officeDocument/2006/relationships/hyperlink" Target="https://github.com/WPMedia/arc-themes-blocks/pull/1062" TargetMode="External"/><Relationship Id="rId321" Type="http://schemas.openxmlformats.org/officeDocument/2006/relationships/hyperlink" Target="https://github.com/Khan/wonder-blocks/pull/2563" TargetMode="External"/><Relationship Id="rId342" Type="http://schemas.openxmlformats.org/officeDocument/2006/relationships/hyperlink" Target="https://github.com/opengovsg/isomer/pull/1585" TargetMode="External"/><Relationship Id="rId202" Type="http://schemas.openxmlformats.org/officeDocument/2006/relationships/hyperlink" Target="https://github.com/guardian/gateway/pull/791" TargetMode="External"/><Relationship Id="rId223" Type="http://schemas.openxmlformats.org/officeDocument/2006/relationships/hyperlink" Target="https://github.com/homebound-team/beam/pull/409" TargetMode="External"/><Relationship Id="rId244" Type="http://schemas.openxmlformats.org/officeDocument/2006/relationships/hyperlink" Target="https://github.com/WPMedia/arc-themes-blocks/pull/1345" TargetMode="External"/><Relationship Id="rId18" Type="http://schemas.openxmlformats.org/officeDocument/2006/relationships/hyperlink" Target="https://github.com/sbb-design-systems/lyne-components/pull/1691" TargetMode="External"/><Relationship Id="rId39" Type="http://schemas.openxmlformats.org/officeDocument/2006/relationships/hyperlink" Target="https://github.com/Esri/calcite-design-system/pull/7568" TargetMode="External"/><Relationship Id="rId265" Type="http://schemas.openxmlformats.org/officeDocument/2006/relationships/hyperlink" Target="https://github.com/WPMedia/arc-themes-blocks/pull/1411" TargetMode="External"/><Relationship Id="rId286" Type="http://schemas.openxmlformats.org/officeDocument/2006/relationships/hyperlink" Target="https://github.com/storybookjs/storybook/pull/19181" TargetMode="External"/><Relationship Id="rId50" Type="http://schemas.openxmlformats.org/officeDocument/2006/relationships/hyperlink" Target="https://github.com/bitwarden/clients/pull/6225" TargetMode="External"/><Relationship Id="rId104" Type="http://schemas.openxmlformats.org/officeDocument/2006/relationships/hyperlink" Target="https://github.com/cloudblue/connect-ui-toolkit/pull/92" TargetMode="External"/><Relationship Id="rId125" Type="http://schemas.openxmlformats.org/officeDocument/2006/relationships/hyperlink" Target="https://github.com/evidence-dev/evidence/pull/2317" TargetMode="External"/><Relationship Id="rId146" Type="http://schemas.openxmlformats.org/officeDocument/2006/relationships/hyperlink" Target="https://github.com/Esri/calcite-design-system/pull/10820" TargetMode="External"/><Relationship Id="rId167" Type="http://schemas.openxmlformats.org/officeDocument/2006/relationships/hyperlink" Target="https://github.com/cultureamp/kaizen-design-system/pull/1053" TargetMode="External"/><Relationship Id="rId188" Type="http://schemas.openxmlformats.org/officeDocument/2006/relationships/hyperlink" Target="https://github.com/cultureamp/kaizen-design-system/pull/1800" TargetMode="External"/><Relationship Id="rId311" Type="http://schemas.openxmlformats.org/officeDocument/2006/relationships/hyperlink" Target="https://github.com/opengovsg/isomer/pull/1144" TargetMode="External"/><Relationship Id="rId332" Type="http://schemas.openxmlformats.org/officeDocument/2006/relationships/hyperlink" Target="https://github.com/coder/coder/pull/18445" TargetMode="External"/><Relationship Id="rId71" Type="http://schemas.openxmlformats.org/officeDocument/2006/relationships/hyperlink" Target="https://github.com/adobe/react-spectrum/pull/5705" TargetMode="External"/><Relationship Id="rId92" Type="http://schemas.openxmlformats.org/officeDocument/2006/relationships/hyperlink" Target="https://github.com/chromaui/chromatic-docs/pull/400" TargetMode="External"/><Relationship Id="rId213" Type="http://schemas.openxmlformats.org/officeDocument/2006/relationships/hyperlink" Target="https://github.com/ntls-io/nautilus-wallet/pull/136" TargetMode="External"/><Relationship Id="rId234" Type="http://schemas.openxmlformats.org/officeDocument/2006/relationships/hyperlink" Target="https://github.com/guardian/gateway/pull/1575" TargetMode="External"/><Relationship Id="rId2" Type="http://schemas.openxmlformats.org/officeDocument/2006/relationships/hyperlink" Target="https://github.com/storybookjs/storybook/pull/20712" TargetMode="External"/><Relationship Id="rId29" Type="http://schemas.openxmlformats.org/officeDocument/2006/relationships/hyperlink" Target="https://github.com/input-output-hk/lace/pull/128" TargetMode="External"/><Relationship Id="rId255" Type="http://schemas.openxmlformats.org/officeDocument/2006/relationships/hyperlink" Target="https://github.com/guardian/dotcom-rendering/pull/5128" TargetMode="External"/><Relationship Id="rId276" Type="http://schemas.openxmlformats.org/officeDocument/2006/relationships/hyperlink" Target="https://github.com/WPMedia/arc-themes-blocks/pull/1462" TargetMode="External"/><Relationship Id="rId297" Type="http://schemas.openxmlformats.org/officeDocument/2006/relationships/hyperlink" Target="https://github.com/WPMedia/arc-themes-blocks/pull/1556" TargetMode="External"/><Relationship Id="rId40" Type="http://schemas.openxmlformats.org/officeDocument/2006/relationships/hyperlink" Target="https://github.com/Esri/calcite-design-system/pull/7568" TargetMode="External"/><Relationship Id="rId115" Type="http://schemas.openxmlformats.org/officeDocument/2006/relationships/hyperlink" Target="https://github.com/storybookjs/storybook/pull/28739" TargetMode="External"/><Relationship Id="rId136" Type="http://schemas.openxmlformats.org/officeDocument/2006/relationships/hyperlink" Target="https://github.com/nl-design-system/rijkshuisstijl-community/pull/620" TargetMode="External"/><Relationship Id="rId157" Type="http://schemas.openxmlformats.org/officeDocument/2006/relationships/hyperlink" Target="https://github.com/Khan/wonder-blocks/pull/2441" TargetMode="External"/><Relationship Id="rId178" Type="http://schemas.openxmlformats.org/officeDocument/2006/relationships/hyperlink" Target="https://github.com/WPMedia/arc-themes-blocks/pull/862" TargetMode="External"/><Relationship Id="rId301" Type="http://schemas.openxmlformats.org/officeDocument/2006/relationships/hyperlink" Target="https://github.com/Khan/wonder-blocks/pull/1645" TargetMode="External"/><Relationship Id="rId322" Type="http://schemas.openxmlformats.org/officeDocument/2006/relationships/hyperlink" Target="https://github.com/nodejs/nodejs.org/pull/7754" TargetMode="External"/><Relationship Id="rId343" Type="http://schemas.openxmlformats.org/officeDocument/2006/relationships/hyperlink" Target="https://github.com/Khan/wonder-blocks/pull/2786" TargetMode="External"/><Relationship Id="rId61" Type="http://schemas.openxmlformats.org/officeDocument/2006/relationships/hyperlink" Target="https://github.com/coder/coder/pull/10857" TargetMode="External"/><Relationship Id="rId82" Type="http://schemas.openxmlformats.org/officeDocument/2006/relationships/hyperlink" Target="https://github.com/department-of-veterans-affairs/component-library/pull/1073" TargetMode="External"/><Relationship Id="rId199" Type="http://schemas.openxmlformats.org/officeDocument/2006/relationships/hyperlink" Target="https://github.com/guardian/gateway/pull/791" TargetMode="External"/><Relationship Id="rId203" Type="http://schemas.openxmlformats.org/officeDocument/2006/relationships/hyperlink" Target="https://github.com/PostHog/posthog/pull/5736" TargetMode="External"/><Relationship Id="rId19" Type="http://schemas.openxmlformats.org/officeDocument/2006/relationships/hyperlink" Target="https://github.com/livechat/design-system/pull/518" TargetMode="External"/><Relationship Id="rId224" Type="http://schemas.openxmlformats.org/officeDocument/2006/relationships/hyperlink" Target="https://github.com/Workday/canvas-kit/pull/1396" TargetMode="External"/><Relationship Id="rId245" Type="http://schemas.openxmlformats.org/officeDocument/2006/relationships/hyperlink" Target="https://github.com/WPMedia/arc-themes-blocks/pull/1332" TargetMode="External"/><Relationship Id="rId266" Type="http://schemas.openxmlformats.org/officeDocument/2006/relationships/hyperlink" Target="https://github.com/WPMedia/arc-themes-components/pull/116" TargetMode="External"/><Relationship Id="rId287" Type="http://schemas.openxmlformats.org/officeDocument/2006/relationships/hyperlink" Target="https://github.com/chanzuckerberg/edu-design-system/pull/1322" TargetMode="External"/><Relationship Id="rId30" Type="http://schemas.openxmlformats.org/officeDocument/2006/relationships/hyperlink" Target="https://github.com/contentful/forma-36/pull/2498" TargetMode="External"/><Relationship Id="rId105" Type="http://schemas.openxmlformats.org/officeDocument/2006/relationships/hyperlink" Target="https://github.com/danskernesdigitalebibliotek/dpl-design-system/pull/650" TargetMode="External"/><Relationship Id="rId126" Type="http://schemas.openxmlformats.org/officeDocument/2006/relationships/hyperlink" Target="https://github.com/kufu/smarthr-ui/pull/4821" TargetMode="External"/><Relationship Id="rId147" Type="http://schemas.openxmlformats.org/officeDocument/2006/relationships/hyperlink" Target="https://github.com/opendatasoft/ods-dataviz-sdk/pull/266" TargetMode="External"/><Relationship Id="rId168" Type="http://schemas.openxmlformats.org/officeDocument/2006/relationships/hyperlink" Target="https://github.com/cultureamp/kaizen-design-system/pull/1053" TargetMode="External"/><Relationship Id="rId312" Type="http://schemas.openxmlformats.org/officeDocument/2006/relationships/hyperlink" Target="https://github.com/Esri/calcite-design-system/pull/11759" TargetMode="External"/><Relationship Id="rId333" Type="http://schemas.openxmlformats.org/officeDocument/2006/relationships/hyperlink" Target="https://github.com/Esri/calcite-design-system/pull/12595" TargetMode="External"/><Relationship Id="rId51" Type="http://schemas.openxmlformats.org/officeDocument/2006/relationships/hyperlink" Target="https://github.com/isomerpages/isomercms-frontend/pull/1620" TargetMode="External"/><Relationship Id="rId72" Type="http://schemas.openxmlformats.org/officeDocument/2006/relationships/hyperlink" Target="https://github.com/adobe/react-spectrum/pull/5705" TargetMode="External"/><Relationship Id="rId93" Type="http://schemas.openxmlformats.org/officeDocument/2006/relationships/hyperlink" Target="https://github.com/NeurodataWithoutBorders/nwb-guide/pull/674" TargetMode="External"/><Relationship Id="rId189" Type="http://schemas.openxmlformats.org/officeDocument/2006/relationships/hyperlink" Target="https://github.com/WPMedia/arc-themes-blocks/pull/1014" TargetMode="External"/><Relationship Id="rId3" Type="http://schemas.openxmlformats.org/officeDocument/2006/relationships/hyperlink" Target="https://github.com/ni/nimble/pull/966" TargetMode="External"/><Relationship Id="rId214" Type="http://schemas.openxmlformats.org/officeDocument/2006/relationships/hyperlink" Target="https://github.com/guardian/dotcom-rendering/pull/3645" TargetMode="External"/><Relationship Id="rId235" Type="http://schemas.openxmlformats.org/officeDocument/2006/relationships/hyperlink" Target="https://github.com/ni/nimble/pull/406" TargetMode="External"/><Relationship Id="rId256" Type="http://schemas.openxmlformats.org/officeDocument/2006/relationships/hyperlink" Target="https://github.com/WPMedia/arc-themes-blocks/pull/1373" TargetMode="External"/><Relationship Id="rId277" Type="http://schemas.openxmlformats.org/officeDocument/2006/relationships/hyperlink" Target="https://github.com/WPMedia/arc-themes-blocks/pull/1462" TargetMode="External"/><Relationship Id="rId298" Type="http://schemas.openxmlformats.org/officeDocument/2006/relationships/hyperlink" Target="https://github.com/storybookjs/storybook/pull/19952" TargetMode="External"/><Relationship Id="rId116" Type="http://schemas.openxmlformats.org/officeDocument/2006/relationships/hyperlink" Target="https://github.com/Esri/calcite-design-system/pull/9912" TargetMode="External"/><Relationship Id="rId137" Type="http://schemas.openxmlformats.org/officeDocument/2006/relationships/hyperlink" Target="https://github.com/gradio-app/gradio/pull/9260" TargetMode="External"/><Relationship Id="rId158" Type="http://schemas.openxmlformats.org/officeDocument/2006/relationships/hyperlink" Target="https://github.com/serendie/serendie/pull/28" TargetMode="External"/><Relationship Id="rId302" Type="http://schemas.openxmlformats.org/officeDocument/2006/relationships/hyperlink" Target="https://github.com/guardian/dotcom-rendering/pull/6405" TargetMode="External"/><Relationship Id="rId323" Type="http://schemas.openxmlformats.org/officeDocument/2006/relationships/hyperlink" Target="https://github.com/nodejs/nodejs.org/pull/7754" TargetMode="External"/><Relationship Id="rId344" Type="http://schemas.openxmlformats.org/officeDocument/2006/relationships/hyperlink" Target="https://github.com/Khan/wonder-blocks/pull/2786" TargetMode="External"/><Relationship Id="rId20" Type="http://schemas.openxmlformats.org/officeDocument/2006/relationships/hyperlink" Target="https://github.com/coder/coder/pull/7210" TargetMode="External"/><Relationship Id="rId41" Type="http://schemas.openxmlformats.org/officeDocument/2006/relationships/hyperlink" Target="https://github.com/epicmaxco/vuestic-ui/pull/3729" TargetMode="External"/><Relationship Id="rId62" Type="http://schemas.openxmlformats.org/officeDocument/2006/relationships/hyperlink" Target="https://github.com/GCTC-NTGC/gc-digital-talent/pull/8405" TargetMode="External"/><Relationship Id="rId83" Type="http://schemas.openxmlformats.org/officeDocument/2006/relationships/hyperlink" Target="https://github.com/Esri/calcite-design-system/pull/8786" TargetMode="External"/><Relationship Id="rId179" Type="http://schemas.openxmlformats.org/officeDocument/2006/relationships/hyperlink" Target="https://github.com/storybookjs/storybook/pull/14820" TargetMode="External"/><Relationship Id="rId190" Type="http://schemas.openxmlformats.org/officeDocument/2006/relationships/hyperlink" Target="https://github.com/storybookjs/storybook/pull/15556" TargetMode="External"/><Relationship Id="rId204" Type="http://schemas.openxmlformats.org/officeDocument/2006/relationships/hyperlink" Target="https://github.com/eisbuk/EisBuk/pull/183" TargetMode="External"/><Relationship Id="rId225" Type="http://schemas.openxmlformats.org/officeDocument/2006/relationships/hyperlink" Target="https://github.com/Khan/wonder-blocks/pull/1257" TargetMode="External"/><Relationship Id="rId246" Type="http://schemas.openxmlformats.org/officeDocument/2006/relationships/hyperlink" Target="https://github.com/WPMedia/arc-themes-blocks/pull/1335" TargetMode="External"/><Relationship Id="rId267" Type="http://schemas.openxmlformats.org/officeDocument/2006/relationships/hyperlink" Target="https://github.com/WPMedia/arc-themes-components/pull/116" TargetMode="External"/><Relationship Id="rId288" Type="http://schemas.openxmlformats.org/officeDocument/2006/relationships/hyperlink" Target="https://github.com/chanzuckerberg/edu-design-system/pull/1322" TargetMode="External"/><Relationship Id="rId106" Type="http://schemas.openxmlformats.org/officeDocument/2006/relationships/hyperlink" Target="https://github.com/danskernesdigitalebibliotek/dpl-design-system/pull/650" TargetMode="External"/><Relationship Id="rId127" Type="http://schemas.openxmlformats.org/officeDocument/2006/relationships/hyperlink" Target="https://github.com/navikt/aksel/pull/3081" TargetMode="External"/><Relationship Id="rId313" Type="http://schemas.openxmlformats.org/officeDocument/2006/relationships/hyperlink" Target="https://github.com/openops-cloud/openops/pull/286" TargetMode="External"/><Relationship Id="rId10" Type="http://schemas.openxmlformats.org/officeDocument/2006/relationships/hyperlink" Target="https://github.com/ithaka/pharos/pull/503" TargetMode="External"/><Relationship Id="rId31" Type="http://schemas.openxmlformats.org/officeDocument/2006/relationships/hyperlink" Target="https://github.com/contentful/forma-36/pull/2498" TargetMode="External"/><Relationship Id="rId52" Type="http://schemas.openxmlformats.org/officeDocument/2006/relationships/hyperlink" Target="https://github.com/Esri/calcite-design-system/pull/8055" TargetMode="External"/><Relationship Id="rId73" Type="http://schemas.openxmlformats.org/officeDocument/2006/relationships/hyperlink" Target="https://github.com/recharts/recharts/pull/4062" TargetMode="External"/><Relationship Id="rId94" Type="http://schemas.openxmlformats.org/officeDocument/2006/relationships/hyperlink" Target="https://github.com/guardian/dotcom-rendering/pull/10864" TargetMode="External"/><Relationship Id="rId148" Type="http://schemas.openxmlformats.org/officeDocument/2006/relationships/hyperlink" Target="https://github.com/kufu/smarthr-ui/pull/5091" TargetMode="External"/><Relationship Id="rId169" Type="http://schemas.openxmlformats.org/officeDocument/2006/relationships/hyperlink" Target="https://github.com/CruGlobal/mpdx-react/pull/25" TargetMode="External"/><Relationship Id="rId334" Type="http://schemas.openxmlformats.org/officeDocument/2006/relationships/hyperlink" Target="https://github.com/kiva/kv-ui-elements/pull/597" TargetMode="External"/><Relationship Id="rId4" Type="http://schemas.openxmlformats.org/officeDocument/2006/relationships/hyperlink" Target="https://github.com/guardian/dotcom-rendering/pull/6954" TargetMode="External"/><Relationship Id="rId180" Type="http://schemas.openxmlformats.org/officeDocument/2006/relationships/hyperlink" Target="https://github.com/grommet/grommet/pull/5213" TargetMode="External"/><Relationship Id="rId215" Type="http://schemas.openxmlformats.org/officeDocument/2006/relationships/hyperlink" Target="https://github.com/guardian/dotcom-rendering/pull/3645" TargetMode="External"/><Relationship Id="rId236" Type="http://schemas.openxmlformats.org/officeDocument/2006/relationships/hyperlink" Target="https://github.com/ntls-io/nautilus-wallet/pull/160" TargetMode="External"/><Relationship Id="rId257" Type="http://schemas.openxmlformats.org/officeDocument/2006/relationships/hyperlink" Target="https://github.com/WPMedia/arc-themes-blocks/pull/1386" TargetMode="External"/><Relationship Id="rId278" Type="http://schemas.openxmlformats.org/officeDocument/2006/relationships/hyperlink" Target="https://github.com/storybookjs/storybook/pull/19029" TargetMode="External"/><Relationship Id="rId303" Type="http://schemas.openxmlformats.org/officeDocument/2006/relationships/hyperlink" Target="https://github.com/wellcomecollection/wellcomecollection.org/pull/8945" TargetMode="External"/><Relationship Id="rId42" Type="http://schemas.openxmlformats.org/officeDocument/2006/relationships/hyperlink" Target="https://github.com/NeurodataWithoutBorders/nwb-guide/pull/305" TargetMode="External"/><Relationship Id="rId84" Type="http://schemas.openxmlformats.org/officeDocument/2006/relationships/hyperlink" Target="https://github.com/kufu/smarthr-ui/pull/4302" TargetMode="External"/><Relationship Id="rId138" Type="http://schemas.openxmlformats.org/officeDocument/2006/relationships/hyperlink" Target="https://github.com/evidence-dev/evidence/pull/2511" TargetMode="External"/><Relationship Id="rId191" Type="http://schemas.openxmlformats.org/officeDocument/2006/relationships/hyperlink" Target="https://github.com/contentful/forma-36/pull/1093" TargetMode="External"/><Relationship Id="rId205" Type="http://schemas.openxmlformats.org/officeDocument/2006/relationships/hyperlink" Target="https://github.com/eisbuk/EisBuk/pull/183" TargetMode="External"/><Relationship Id="rId247" Type="http://schemas.openxmlformats.org/officeDocument/2006/relationships/hyperlink" Target="https://github.com/contentful/forma-36/pull/2057" TargetMode="External"/><Relationship Id="rId107" Type="http://schemas.openxmlformats.org/officeDocument/2006/relationships/hyperlink" Target="https://github.com/recharts/recharts/pull/4542" TargetMode="External"/><Relationship Id="rId289" Type="http://schemas.openxmlformats.org/officeDocument/2006/relationships/hyperlink" Target="https://github.com/chanzuckerberg/edu-design-system/pull/1346" TargetMode="External"/><Relationship Id="rId11" Type="http://schemas.openxmlformats.org/officeDocument/2006/relationships/hyperlink" Target="https://github.com/adobe/react-spectrum/pull/4243" TargetMode="External"/><Relationship Id="rId53" Type="http://schemas.openxmlformats.org/officeDocument/2006/relationships/hyperlink" Target="https://github.com/recharts/recharts/pull/3908" TargetMode="External"/><Relationship Id="rId149" Type="http://schemas.openxmlformats.org/officeDocument/2006/relationships/hyperlink" Target="https://github.com/Khan/wonder-blocks/pull/2363" TargetMode="External"/><Relationship Id="rId314" Type="http://schemas.openxmlformats.org/officeDocument/2006/relationships/hyperlink" Target="https://github.com/temporalio/ui/pull/2599" TargetMode="External"/><Relationship Id="rId95" Type="http://schemas.openxmlformats.org/officeDocument/2006/relationships/hyperlink" Target="https://github.com/wellcomecollection/wellcomecollection.org/pull/10792" TargetMode="External"/><Relationship Id="rId160" Type="http://schemas.openxmlformats.org/officeDocument/2006/relationships/hyperlink" Target="https://github.com/Sage/carbon/pull/3498" TargetMode="External"/><Relationship Id="rId216" Type="http://schemas.openxmlformats.org/officeDocument/2006/relationships/hyperlink" Target="https://github.com/cultureamp/kaizen-design-system/pull/2300" TargetMode="External"/><Relationship Id="rId258" Type="http://schemas.openxmlformats.org/officeDocument/2006/relationships/hyperlink" Target="https://github.com/WPMedia/arc-themes-blocks/pull/1386" TargetMode="External"/><Relationship Id="rId22" Type="http://schemas.openxmlformats.org/officeDocument/2006/relationships/hyperlink" Target="https://github.com/forkfacts/forkfacts-v2/pull/26" TargetMode="External"/><Relationship Id="rId64" Type="http://schemas.openxmlformats.org/officeDocument/2006/relationships/hyperlink" Target="https://github.com/sbb-design-systems/lyne-components/pull/2255" TargetMode="External"/><Relationship Id="rId118" Type="http://schemas.openxmlformats.org/officeDocument/2006/relationships/hyperlink" Target="https://github.com/gradio-app/gradio/pull/8851" TargetMode="External"/><Relationship Id="rId325" Type="http://schemas.openxmlformats.org/officeDocument/2006/relationships/hyperlink" Target="https://github.com/coder/coder/pull/17822" TargetMode="External"/><Relationship Id="rId171" Type="http://schemas.openxmlformats.org/officeDocument/2006/relationships/hyperlink" Target="https://github.com/storybookjs/storybook/pull/14251" TargetMode="External"/><Relationship Id="rId227" Type="http://schemas.openxmlformats.org/officeDocument/2006/relationships/hyperlink" Target="https://github.com/Workday/canvas-kit/pull/1441" TargetMode="External"/><Relationship Id="rId269" Type="http://schemas.openxmlformats.org/officeDocument/2006/relationships/hyperlink" Target="https://github.com/coder/coder/pull/3189" TargetMode="External"/><Relationship Id="rId33" Type="http://schemas.openxmlformats.org/officeDocument/2006/relationships/hyperlink" Target="https://github.com/Sage-Bionetworks/synapse-web-monorepo/pull/319" TargetMode="External"/><Relationship Id="rId129" Type="http://schemas.openxmlformats.org/officeDocument/2006/relationships/hyperlink" Target="https://github.com/sl-design-system/components/pull/1454" TargetMode="External"/><Relationship Id="rId280" Type="http://schemas.openxmlformats.org/officeDocument/2006/relationships/hyperlink" Target="https://github.com/chanzuckerberg/sci-components/pull/236" TargetMode="External"/><Relationship Id="rId336" Type="http://schemas.openxmlformats.org/officeDocument/2006/relationships/hyperlink" Target="https://github.com/recharts/recharts/pull/6059" TargetMode="External"/><Relationship Id="rId75" Type="http://schemas.openxmlformats.org/officeDocument/2006/relationships/hyperlink" Target="https://github.com/Esri/calcite-design-system/pull/8561" TargetMode="External"/><Relationship Id="rId140" Type="http://schemas.openxmlformats.org/officeDocument/2006/relationships/hyperlink" Target="https://github.com/guardian/dotcom-rendering/pull/12298" TargetMode="External"/><Relationship Id="rId182" Type="http://schemas.openxmlformats.org/officeDocument/2006/relationships/hyperlink" Target="https://github.com/adobe/react-spectrum/pull/2057" TargetMode="External"/><Relationship Id="rId6" Type="http://schemas.openxmlformats.org/officeDocument/2006/relationships/hyperlink" Target="https://github.com/storybookjs/storybook/pull/20995" TargetMode="External"/><Relationship Id="rId238" Type="http://schemas.openxmlformats.org/officeDocument/2006/relationships/hyperlink" Target="https://github.com/lena1687/react-game-project/pull/1" TargetMode="External"/><Relationship Id="rId291" Type="http://schemas.openxmlformats.org/officeDocument/2006/relationships/hyperlink" Target="https://github.com/cultureamp/kaizen-design-system/pull/3051" TargetMode="External"/><Relationship Id="rId305" Type="http://schemas.openxmlformats.org/officeDocument/2006/relationships/hyperlink" Target="https://github.com/storybookjs/storybook/pull/20359" TargetMode="External"/><Relationship Id="rId44" Type="http://schemas.openxmlformats.org/officeDocument/2006/relationships/hyperlink" Target="https://github.com/guardian/dotcom-rendering/pull/8478" TargetMode="External"/><Relationship Id="rId86" Type="http://schemas.openxmlformats.org/officeDocument/2006/relationships/hyperlink" Target="https://github.com/department-of-veterans-affairs/component-library/pull/1096" TargetMode="External"/><Relationship Id="rId151" Type="http://schemas.openxmlformats.org/officeDocument/2006/relationships/hyperlink" Target="https://github.com/fortanix/baklava/pull/54" TargetMode="External"/><Relationship Id="rId193" Type="http://schemas.openxmlformats.org/officeDocument/2006/relationships/hyperlink" Target="https://github.com/WPMedia/arc-themes-blocks/pull/1044" TargetMode="External"/><Relationship Id="rId207" Type="http://schemas.openxmlformats.org/officeDocument/2006/relationships/hyperlink" Target="https://github.com/WPMedia/arc-themes-blocks/pull/1092" TargetMode="External"/><Relationship Id="rId249" Type="http://schemas.openxmlformats.org/officeDocument/2006/relationships/hyperlink" Target="https://github.com/coder/coder/pull/1574" TargetMode="External"/><Relationship Id="rId13" Type="http://schemas.openxmlformats.org/officeDocument/2006/relationships/hyperlink" Target="https://github.com/NeurodataWithoutBorders/nwb-guide/pull/74" TargetMode="External"/><Relationship Id="rId109" Type="http://schemas.openxmlformats.org/officeDocument/2006/relationships/hyperlink" Target="https://github.com/Esri/calcite-design-system/pull/9688" TargetMode="External"/><Relationship Id="rId260" Type="http://schemas.openxmlformats.org/officeDocument/2006/relationships/hyperlink" Target="https://github.com/coder/coder/pull/2103" TargetMode="External"/><Relationship Id="rId316" Type="http://schemas.openxmlformats.org/officeDocument/2006/relationships/hyperlink" Target="https://github.com/Khan/wonder-blocks/pull/2508" TargetMode="External"/><Relationship Id="rId55" Type="http://schemas.openxmlformats.org/officeDocument/2006/relationships/hyperlink" Target="https://github.com/Esri/calcite-design-system/pull/8066" TargetMode="External"/><Relationship Id="rId97" Type="http://schemas.openxmlformats.org/officeDocument/2006/relationships/hyperlink" Target="https://github.com/ethereum/ethereum-org-website/pull/12639" TargetMode="External"/><Relationship Id="rId120" Type="http://schemas.openxmlformats.org/officeDocument/2006/relationships/hyperlink" Target="https://github.com/adobe/spectrum-css/pull/2929" TargetMode="External"/><Relationship Id="rId162" Type="http://schemas.openxmlformats.org/officeDocument/2006/relationships/hyperlink" Target="https://github.com/getappmap/appmap-js/pull/57" TargetMode="External"/><Relationship Id="rId218" Type="http://schemas.openxmlformats.org/officeDocument/2006/relationships/hyperlink" Target="https://github.com/input-output-hk/daedalus/pull/2776" TargetMode="External"/><Relationship Id="rId271" Type="http://schemas.openxmlformats.org/officeDocument/2006/relationships/hyperlink" Target="https://github.com/cerebrl/forgerock-web-login-framework/pull/6" TargetMode="External"/><Relationship Id="rId24" Type="http://schemas.openxmlformats.org/officeDocument/2006/relationships/hyperlink" Target="https://github.com/ForgeRock/forgerock-web-login-framework/pull/121" TargetMode="External"/><Relationship Id="rId66" Type="http://schemas.openxmlformats.org/officeDocument/2006/relationships/hyperlink" Target="https://github.com/adobe/spectrum-css/pull/2424" TargetMode="External"/><Relationship Id="rId131" Type="http://schemas.openxmlformats.org/officeDocument/2006/relationships/hyperlink" Target="https://github.com/guardian/dotcom-rendering/pull/12062" TargetMode="External"/><Relationship Id="rId327" Type="http://schemas.openxmlformats.org/officeDocument/2006/relationships/hyperlink" Target="https://github.com/Khan/wonder-blocks/pull/2602" TargetMode="External"/><Relationship Id="rId173" Type="http://schemas.openxmlformats.org/officeDocument/2006/relationships/hyperlink" Target="https://github.com/storybookjs/storybook/pull/14172" TargetMode="External"/><Relationship Id="rId229" Type="http://schemas.openxmlformats.org/officeDocument/2006/relationships/hyperlink" Target="https://github.com/hackworthltd/primer-app/pull/213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Esri/calcite-design-system/pull/7568" TargetMode="External"/><Relationship Id="rId671" Type="http://schemas.openxmlformats.org/officeDocument/2006/relationships/hyperlink" Target="https://github.com/Workday/canvas-kit/pull/1396" TargetMode="External"/><Relationship Id="rId769" Type="http://schemas.openxmlformats.org/officeDocument/2006/relationships/hyperlink" Target="https://github.com/Workday/canvas-kit/pull/1441" TargetMode="External"/><Relationship Id="rId976" Type="http://schemas.openxmlformats.org/officeDocument/2006/relationships/hyperlink" Target="https://github.com/guardian/dotcom-rendering/pull/6235" TargetMode="External"/><Relationship Id="rId21" Type="http://schemas.openxmlformats.org/officeDocument/2006/relationships/hyperlink" Target="https://github.com/guardian/dotcom-rendering/pull/7128" TargetMode="External"/><Relationship Id="rId324" Type="http://schemas.openxmlformats.org/officeDocument/2006/relationships/hyperlink" Target="https://github.com/misskey-dev/misskey/pull/13779" TargetMode="External"/><Relationship Id="rId531" Type="http://schemas.openxmlformats.org/officeDocument/2006/relationships/hyperlink" Target="https://github.com/ithaka/pharos/pull/36" TargetMode="External"/><Relationship Id="rId629" Type="http://schemas.openxmlformats.org/officeDocument/2006/relationships/hyperlink" Target="https://github.com/proeco/proeco-client/pull/147" TargetMode="External"/><Relationship Id="rId170" Type="http://schemas.openxmlformats.org/officeDocument/2006/relationships/hyperlink" Target="https://github.com/storybookjs/storybook/pull/24395" TargetMode="External"/><Relationship Id="rId836" Type="http://schemas.openxmlformats.org/officeDocument/2006/relationships/hyperlink" Target="https://github.com/razorpay/blade/pull/634" TargetMode="External"/><Relationship Id="rId268" Type="http://schemas.openxmlformats.org/officeDocument/2006/relationships/hyperlink" Target="https://github.com/daydule/frontend/pull/71" TargetMode="External"/><Relationship Id="rId475" Type="http://schemas.openxmlformats.org/officeDocument/2006/relationships/hyperlink" Target="https://github.com/guardian/dotcom-rendering/pull/12062" TargetMode="External"/><Relationship Id="rId682" Type="http://schemas.openxmlformats.org/officeDocument/2006/relationships/hyperlink" Target="https://github.com/WPMedia/arc-themes-blocks/pull/1062" TargetMode="External"/><Relationship Id="rId903" Type="http://schemas.openxmlformats.org/officeDocument/2006/relationships/hyperlink" Target="https://github.com/Khan/wonder-blocks/pull/1645" TargetMode="External"/><Relationship Id="rId32" Type="http://schemas.openxmlformats.org/officeDocument/2006/relationships/hyperlink" Target="https://github.com/adobe/react-spectrum/pull/4243" TargetMode="External"/><Relationship Id="rId128" Type="http://schemas.openxmlformats.org/officeDocument/2006/relationships/hyperlink" Target="https://github.com/solid-design-system/solid/pull/318" TargetMode="External"/><Relationship Id="rId335" Type="http://schemas.openxmlformats.org/officeDocument/2006/relationships/hyperlink" Target="https://github.com/Sage/carbon/pull/6795" TargetMode="External"/><Relationship Id="rId542" Type="http://schemas.openxmlformats.org/officeDocument/2006/relationships/hyperlink" Target="https://github.com/adobe/react-spectrum/pull/2057" TargetMode="External"/><Relationship Id="rId987" Type="http://schemas.openxmlformats.org/officeDocument/2006/relationships/hyperlink" Target="https://github.com/Khan/wonder-blocks/pull/2600" TargetMode="External"/><Relationship Id="rId181" Type="http://schemas.openxmlformats.org/officeDocument/2006/relationships/hyperlink" Target="https://github.com/chromaui/addon-visual-tests/pull/22" TargetMode="External"/><Relationship Id="rId402" Type="http://schemas.openxmlformats.org/officeDocument/2006/relationships/hyperlink" Target="https://github.com/Esri/calcite-design-system/pull/10343" TargetMode="External"/><Relationship Id="rId847" Type="http://schemas.openxmlformats.org/officeDocument/2006/relationships/hyperlink" Target="https://github.com/GCTC-NTGC/gc-digital-talent/pull/2728" TargetMode="External"/><Relationship Id="rId279" Type="http://schemas.openxmlformats.org/officeDocument/2006/relationships/hyperlink" Target="https://github.com/NeurodataWithoutBorders/nwb-guide/pull/674" TargetMode="External"/><Relationship Id="rId486" Type="http://schemas.openxmlformats.org/officeDocument/2006/relationships/hyperlink" Target="https://github.com/getappmap/appmap-js/pull/57" TargetMode="External"/><Relationship Id="rId693" Type="http://schemas.openxmlformats.org/officeDocument/2006/relationships/hyperlink" Target="https://github.com/guardian/dotcom-rendering/pull/3988" TargetMode="External"/><Relationship Id="rId707" Type="http://schemas.openxmlformats.org/officeDocument/2006/relationships/hyperlink" Target="https://github.com/ntls-io/nautilus-wallet/pull/160" TargetMode="External"/><Relationship Id="rId914" Type="http://schemas.openxmlformats.org/officeDocument/2006/relationships/hyperlink" Target="https://github.com/storybookjs/storybook/pull/20359" TargetMode="External"/><Relationship Id="rId43" Type="http://schemas.openxmlformats.org/officeDocument/2006/relationships/hyperlink" Target="https://github.com/twilio-labs/paste/pull/2602" TargetMode="External"/><Relationship Id="rId139" Type="http://schemas.openxmlformats.org/officeDocument/2006/relationships/hyperlink" Target="https://github.com/coder/coder/pull/7210" TargetMode="External"/><Relationship Id="rId346" Type="http://schemas.openxmlformats.org/officeDocument/2006/relationships/hyperlink" Target="https://github.com/danskernesdigitalebibliotek/dpl-design-system/pull/542" TargetMode="External"/><Relationship Id="rId553" Type="http://schemas.openxmlformats.org/officeDocument/2006/relationships/hyperlink" Target="https://github.com/kufu/smarthr-ui/pull/5307" TargetMode="External"/><Relationship Id="rId760" Type="http://schemas.openxmlformats.org/officeDocument/2006/relationships/hyperlink" Target="https://github.com/Workday/canvas-kit/pull/1396" TargetMode="External"/><Relationship Id="rId998" Type="http://schemas.openxmlformats.org/officeDocument/2006/relationships/hyperlink" Target="https://github.com/nulogy/design-system/pull/1447" TargetMode="External"/><Relationship Id="rId192" Type="http://schemas.openxmlformats.org/officeDocument/2006/relationships/hyperlink" Target="https://github.com/sbb-design-systems/lyne-components/pull/2255" TargetMode="External"/><Relationship Id="rId206" Type="http://schemas.openxmlformats.org/officeDocument/2006/relationships/hyperlink" Target="https://github.com/adobe/react-spectrum/pull/5705" TargetMode="External"/><Relationship Id="rId413" Type="http://schemas.openxmlformats.org/officeDocument/2006/relationships/hyperlink" Target="https://github.com/evidence-dev/evidence/pull/2511" TargetMode="External"/><Relationship Id="rId858" Type="http://schemas.openxmlformats.org/officeDocument/2006/relationships/hyperlink" Target="https://github.com/storybookjs/storybook/pull/19181" TargetMode="External"/><Relationship Id="rId497" Type="http://schemas.openxmlformats.org/officeDocument/2006/relationships/hyperlink" Target="https://github.com/getappmap/appmap-js/pull/32" TargetMode="External"/><Relationship Id="rId620" Type="http://schemas.openxmlformats.org/officeDocument/2006/relationships/hyperlink" Target="https://github.com/WPMedia/arc-themes-blocks/pull/1092" TargetMode="External"/><Relationship Id="rId718" Type="http://schemas.openxmlformats.org/officeDocument/2006/relationships/hyperlink" Target="https://github.com/proeco/proeco-client/pull/147" TargetMode="External"/><Relationship Id="rId925" Type="http://schemas.openxmlformats.org/officeDocument/2006/relationships/hyperlink" Target="https://github.com/razorpay/blade/pull/634" TargetMode="External"/><Relationship Id="rId357" Type="http://schemas.openxmlformats.org/officeDocument/2006/relationships/hyperlink" Target="https://github.com/ni/nimble/pull/2315" TargetMode="External"/><Relationship Id="rId54" Type="http://schemas.openxmlformats.org/officeDocument/2006/relationships/hyperlink" Target="https://github.com/sbb-design-systems/lyne-components/pull/1691" TargetMode="External"/><Relationship Id="rId217" Type="http://schemas.openxmlformats.org/officeDocument/2006/relationships/hyperlink" Target="https://github.com/adobe/react-spectrum/pull/4972" TargetMode="External"/><Relationship Id="rId564" Type="http://schemas.openxmlformats.org/officeDocument/2006/relationships/hyperlink" Target="https://github.com/cultureamp/kaizen-design-system/pull/1800" TargetMode="External"/><Relationship Id="rId771" Type="http://schemas.openxmlformats.org/officeDocument/2006/relationships/hyperlink" Target="https://github.com/WPMedia/arc-themes-blocks/pull/1386" TargetMode="External"/><Relationship Id="rId869" Type="http://schemas.openxmlformats.org/officeDocument/2006/relationships/hyperlink" Target="https://github.com/chanzuckerberg/edu-design-system/pull/1346" TargetMode="External"/><Relationship Id="rId424" Type="http://schemas.openxmlformats.org/officeDocument/2006/relationships/hyperlink" Target="https://github.com/ni/nimble/pull/2189" TargetMode="External"/><Relationship Id="rId631" Type="http://schemas.openxmlformats.org/officeDocument/2006/relationships/hyperlink" Target="https://github.com/adobe/react-spectrum/pull/2057" TargetMode="External"/><Relationship Id="rId729" Type="http://schemas.openxmlformats.org/officeDocument/2006/relationships/hyperlink" Target="https://github.com/WPMedia/arc-themes-blocks/pull/1345" TargetMode="External"/><Relationship Id="rId270" Type="http://schemas.openxmlformats.org/officeDocument/2006/relationships/hyperlink" Target="https://github.com/navikt/aksel/pull/2795" TargetMode="External"/><Relationship Id="rId936" Type="http://schemas.openxmlformats.org/officeDocument/2006/relationships/hyperlink" Target="https://github.com/Esri/calcite-design-system/pull/11759" TargetMode="External"/><Relationship Id="rId65" Type="http://schemas.openxmlformats.org/officeDocument/2006/relationships/hyperlink" Target="https://github.com/forkfacts/forkfacts-v2/pull/26" TargetMode="External"/><Relationship Id="rId130" Type="http://schemas.openxmlformats.org/officeDocument/2006/relationships/hyperlink" Target="https://github.com/contentful/forma-36/pull/2430" TargetMode="External"/><Relationship Id="rId368" Type="http://schemas.openxmlformats.org/officeDocument/2006/relationships/hyperlink" Target="https://github.com/adobe/react-spectrum/pull/6965" TargetMode="External"/><Relationship Id="rId575" Type="http://schemas.openxmlformats.org/officeDocument/2006/relationships/hyperlink" Target="https://github.com/gravitee-io/gravitee-ui-components/pull/401" TargetMode="External"/><Relationship Id="rId782" Type="http://schemas.openxmlformats.org/officeDocument/2006/relationships/hyperlink" Target="https://github.com/ni/nimble/pull/609" TargetMode="External"/><Relationship Id="rId228" Type="http://schemas.openxmlformats.org/officeDocument/2006/relationships/hyperlink" Target="https://github.com/kufu/smarthr-ui/pull/4182" TargetMode="External"/><Relationship Id="rId435" Type="http://schemas.openxmlformats.org/officeDocument/2006/relationships/hyperlink" Target="https://github.com/Sage/carbon/pull/7091" TargetMode="External"/><Relationship Id="rId642" Type="http://schemas.openxmlformats.org/officeDocument/2006/relationships/hyperlink" Target="https://github.com/guardian/dotcom-rendering/pull/3645" TargetMode="External"/><Relationship Id="rId281" Type="http://schemas.openxmlformats.org/officeDocument/2006/relationships/hyperlink" Target="https://github.com/guardian/dotcom-rendering/pull/10864" TargetMode="External"/><Relationship Id="rId502" Type="http://schemas.openxmlformats.org/officeDocument/2006/relationships/hyperlink" Target="https://github.com/guardian/dotcom-rendering/pull/12298" TargetMode="External"/><Relationship Id="rId947" Type="http://schemas.openxmlformats.org/officeDocument/2006/relationships/hyperlink" Target="https://github.com/adobe/react-spectrum/pull/2515" TargetMode="External"/><Relationship Id="rId76" Type="http://schemas.openxmlformats.org/officeDocument/2006/relationships/hyperlink" Target="https://github.com/Esri/calcite-design-system/pull/10724" TargetMode="External"/><Relationship Id="rId141" Type="http://schemas.openxmlformats.org/officeDocument/2006/relationships/hyperlink" Target="https://github.com/guardian/dotcom-rendering/pull/8633" TargetMode="External"/><Relationship Id="rId379" Type="http://schemas.openxmlformats.org/officeDocument/2006/relationships/hyperlink" Target="https://github.com/appsmithorg/appsmith/pull/32857" TargetMode="External"/><Relationship Id="rId586" Type="http://schemas.openxmlformats.org/officeDocument/2006/relationships/hyperlink" Target="https://github.com/getappmap/appmap-js/pull/32" TargetMode="External"/><Relationship Id="rId793" Type="http://schemas.openxmlformats.org/officeDocument/2006/relationships/hyperlink" Target="https://github.com/ni/nimble/pull/406" TargetMode="External"/><Relationship Id="rId807" Type="http://schemas.openxmlformats.org/officeDocument/2006/relationships/hyperlink" Target="https://github.com/coder/coder/pull/3189" TargetMode="External"/><Relationship Id="rId7" Type="http://schemas.openxmlformats.org/officeDocument/2006/relationships/hyperlink" Target="https://github.com/storybookjs/storybook/pull/15080" TargetMode="External"/><Relationship Id="rId239" Type="http://schemas.openxmlformats.org/officeDocument/2006/relationships/hyperlink" Target="https://github.com/danskernesdigitalebibliotek/dpl-design-system/pull/518" TargetMode="External"/><Relationship Id="rId446" Type="http://schemas.openxmlformats.org/officeDocument/2006/relationships/hyperlink" Target="https://github.com/Khan/wonder-blocks/pull/2363" TargetMode="External"/><Relationship Id="rId653" Type="http://schemas.openxmlformats.org/officeDocument/2006/relationships/hyperlink" Target="https://github.com/input-output-hk/daedalus/pull/2776" TargetMode="External"/><Relationship Id="rId292" Type="http://schemas.openxmlformats.org/officeDocument/2006/relationships/hyperlink" Target="https://github.com/adobe/react-spectrum/pull/5705" TargetMode="External"/><Relationship Id="rId306" Type="http://schemas.openxmlformats.org/officeDocument/2006/relationships/hyperlink" Target="https://github.com/misskey-dev/misskey/pull/13830" TargetMode="External"/><Relationship Id="rId860" Type="http://schemas.openxmlformats.org/officeDocument/2006/relationships/hyperlink" Target="https://github.com/chanzuckerberg/edu-design-system/pull/1322" TargetMode="External"/><Relationship Id="rId958" Type="http://schemas.openxmlformats.org/officeDocument/2006/relationships/hyperlink" Target="https://github.com/chanzuckerberg/edu-design-system/pull/1322" TargetMode="External"/><Relationship Id="rId87" Type="http://schemas.openxmlformats.org/officeDocument/2006/relationships/hyperlink" Target="https://github.com/input-output-hk/lace/pull/128" TargetMode="External"/><Relationship Id="rId513" Type="http://schemas.openxmlformats.org/officeDocument/2006/relationships/hyperlink" Target="https://github.com/storybookjs/storybook/pull/14251" TargetMode="External"/><Relationship Id="rId597" Type="http://schemas.openxmlformats.org/officeDocument/2006/relationships/hyperlink" Target="https://github.com/guardian/gateway/pull/791" TargetMode="External"/><Relationship Id="rId720" Type="http://schemas.openxmlformats.org/officeDocument/2006/relationships/hyperlink" Target="https://github.com/metmuseum/marble/pull/185" TargetMode="External"/><Relationship Id="rId818" Type="http://schemas.openxmlformats.org/officeDocument/2006/relationships/hyperlink" Target="https://github.com/bitwarden/clients/pull/3372" TargetMode="External"/><Relationship Id="rId152" Type="http://schemas.openxmlformats.org/officeDocument/2006/relationships/hyperlink" Target="https://github.com/isomerpages/isomercms-frontend/pull/1620" TargetMode="External"/><Relationship Id="rId457" Type="http://schemas.openxmlformats.org/officeDocument/2006/relationships/hyperlink" Target="https://github.com/evidence-dev/evidence/pull/2317" TargetMode="External"/><Relationship Id="rId1003" Type="http://schemas.openxmlformats.org/officeDocument/2006/relationships/hyperlink" Target="https://github.com/wellcomecollection/wellcomecollection.org/pull/8945" TargetMode="External"/><Relationship Id="rId664" Type="http://schemas.openxmlformats.org/officeDocument/2006/relationships/hyperlink" Target="https://github.com/gravitee-io/gravitee-ui-components/pull/401" TargetMode="External"/><Relationship Id="rId871" Type="http://schemas.openxmlformats.org/officeDocument/2006/relationships/hyperlink" Target="https://github.com/ni/nimble/pull/609" TargetMode="External"/><Relationship Id="rId969" Type="http://schemas.openxmlformats.org/officeDocument/2006/relationships/hyperlink" Target="https://github.com/nodejs/nodejs.org/pull/7754" TargetMode="External"/><Relationship Id="rId14" Type="http://schemas.openxmlformats.org/officeDocument/2006/relationships/hyperlink" Target="https://github.com/GCTC-NTGC/gc-digital-talent/pull/5740" TargetMode="External"/><Relationship Id="rId317" Type="http://schemas.openxmlformats.org/officeDocument/2006/relationships/hyperlink" Target="https://github.com/danskernesdigitalebibliotek/dpl-design-system/pull/650" TargetMode="External"/><Relationship Id="rId524" Type="http://schemas.openxmlformats.org/officeDocument/2006/relationships/hyperlink" Target="https://github.com/metmuseum/marble/pull/121" TargetMode="External"/><Relationship Id="rId731" Type="http://schemas.openxmlformats.org/officeDocument/2006/relationships/hyperlink" Target="https://github.com/WPMedia/arc-themes-blocks/pull/1345" TargetMode="External"/><Relationship Id="rId98" Type="http://schemas.openxmlformats.org/officeDocument/2006/relationships/hyperlink" Target="https://github.com/Sage-Bionetworks/synapse-web-monorepo/pull/319" TargetMode="External"/><Relationship Id="rId163" Type="http://schemas.openxmlformats.org/officeDocument/2006/relationships/hyperlink" Target="https://github.com/input-output-hk/lace/pull/128" TargetMode="External"/><Relationship Id="rId370" Type="http://schemas.openxmlformats.org/officeDocument/2006/relationships/hyperlink" Target="https://github.com/ethereum/ethereum-org-website/pull/12639" TargetMode="External"/><Relationship Id="rId829" Type="http://schemas.openxmlformats.org/officeDocument/2006/relationships/hyperlink" Target="https://github.com/contentful/forma-36/pull/2057" TargetMode="External"/><Relationship Id="rId1014" Type="http://schemas.openxmlformats.org/officeDocument/2006/relationships/hyperlink" Target="https://github.com/chanzuckerberg/edu-design-system/pull/1440" TargetMode="External"/><Relationship Id="rId230" Type="http://schemas.openxmlformats.org/officeDocument/2006/relationships/hyperlink" Target="https://github.com/NeurodataWithoutBorders/nwb-guide/pull/555" TargetMode="External"/><Relationship Id="rId468" Type="http://schemas.openxmlformats.org/officeDocument/2006/relationships/hyperlink" Target="https://github.com/Esri/calcite-design-system/pull/11215" TargetMode="External"/><Relationship Id="rId675" Type="http://schemas.openxmlformats.org/officeDocument/2006/relationships/hyperlink" Target="https://github.com/Khan/wonder-blocks/pull/1257" TargetMode="External"/><Relationship Id="rId882" Type="http://schemas.openxmlformats.org/officeDocument/2006/relationships/hyperlink" Target="https://github.com/guardian/dotcom-rendering/pull/6235" TargetMode="External"/><Relationship Id="rId25" Type="http://schemas.openxmlformats.org/officeDocument/2006/relationships/hyperlink" Target="https://github.com/ni/nimble/pull/260" TargetMode="External"/><Relationship Id="rId328" Type="http://schemas.openxmlformats.org/officeDocument/2006/relationships/hyperlink" Target="https://github.com/Esri/calcite-design-system/pull/8786" TargetMode="External"/><Relationship Id="rId535" Type="http://schemas.openxmlformats.org/officeDocument/2006/relationships/hyperlink" Target="https://github.com/Khan/wonder-blocks/pull/2363" TargetMode="External"/><Relationship Id="rId742" Type="http://schemas.openxmlformats.org/officeDocument/2006/relationships/hyperlink" Target="https://github.com/input-output-hk/daedalus/pull/2776" TargetMode="External"/><Relationship Id="rId174" Type="http://schemas.openxmlformats.org/officeDocument/2006/relationships/hyperlink" Target="https://github.com/kufu/smarthr-ui/pull/3975" TargetMode="External"/><Relationship Id="rId381" Type="http://schemas.openxmlformats.org/officeDocument/2006/relationships/hyperlink" Target="https://github.com/navikt/aksel/pull/3081" TargetMode="External"/><Relationship Id="rId602" Type="http://schemas.openxmlformats.org/officeDocument/2006/relationships/hyperlink" Target="https://github.com/guardian/gateway/pull/791" TargetMode="External"/><Relationship Id="rId241" Type="http://schemas.openxmlformats.org/officeDocument/2006/relationships/hyperlink" Target="https://github.com/recharts/recharts/pull/3908" TargetMode="External"/><Relationship Id="rId479" Type="http://schemas.openxmlformats.org/officeDocument/2006/relationships/hyperlink" Target="https://github.com/Sage/carbon/pull/3498" TargetMode="External"/><Relationship Id="rId686" Type="http://schemas.openxmlformats.org/officeDocument/2006/relationships/hyperlink" Target="https://github.com/hackworthltd/primer-app/pull/213" TargetMode="External"/><Relationship Id="rId893" Type="http://schemas.openxmlformats.org/officeDocument/2006/relationships/hyperlink" Target="https://github.com/storybookjs/storybook/pull/19952" TargetMode="External"/><Relationship Id="rId907" Type="http://schemas.openxmlformats.org/officeDocument/2006/relationships/hyperlink" Target="https://github.com/bitwarden/clients/pull/3372" TargetMode="External"/><Relationship Id="rId36" Type="http://schemas.openxmlformats.org/officeDocument/2006/relationships/hyperlink" Target="https://github.com/NeurodataWithoutBorders/nwb-guide/pull/74" TargetMode="External"/><Relationship Id="rId339" Type="http://schemas.openxmlformats.org/officeDocument/2006/relationships/hyperlink" Target="https://github.com/jpmorganchase/salt-ds/pull/3551" TargetMode="External"/><Relationship Id="rId546" Type="http://schemas.openxmlformats.org/officeDocument/2006/relationships/hyperlink" Target="https://github.com/adobe/react-spectrum/pull/2057" TargetMode="External"/><Relationship Id="rId753" Type="http://schemas.openxmlformats.org/officeDocument/2006/relationships/hyperlink" Target="https://github.com/chanzuckerberg/edu-design-system/pull/1083" TargetMode="External"/><Relationship Id="rId101" Type="http://schemas.openxmlformats.org/officeDocument/2006/relationships/hyperlink" Target="https://github.com/chromaui/addon-visual-tests/pull/22" TargetMode="External"/><Relationship Id="rId185" Type="http://schemas.openxmlformats.org/officeDocument/2006/relationships/hyperlink" Target="https://github.com/GCTC-NTGC/gc-digital-talent/pull/8405" TargetMode="External"/><Relationship Id="rId406" Type="http://schemas.openxmlformats.org/officeDocument/2006/relationships/hyperlink" Target="https://github.com/Esri/calcite-design-system/pull/9688" TargetMode="External"/><Relationship Id="rId960" Type="http://schemas.openxmlformats.org/officeDocument/2006/relationships/hyperlink" Target="https://github.com/nodejs/nodejs.org/pull/7638" TargetMode="External"/><Relationship Id="rId392" Type="http://schemas.openxmlformats.org/officeDocument/2006/relationships/hyperlink" Target="https://github.com/guardian/dotcom-rendering/pull/12062" TargetMode="External"/><Relationship Id="rId613" Type="http://schemas.openxmlformats.org/officeDocument/2006/relationships/hyperlink" Target="https://github.com/metmuseum/marble/pull/121" TargetMode="External"/><Relationship Id="rId697" Type="http://schemas.openxmlformats.org/officeDocument/2006/relationships/hyperlink" Target="https://github.com/PostHog/posthog/pull/5736" TargetMode="External"/><Relationship Id="rId820" Type="http://schemas.openxmlformats.org/officeDocument/2006/relationships/hyperlink" Target="https://github.com/WPMedia/arc-themes-blocks/pull/1345" TargetMode="External"/><Relationship Id="rId918" Type="http://schemas.openxmlformats.org/officeDocument/2006/relationships/hyperlink" Target="https://github.com/ni/nimble/pull/927" TargetMode="External"/><Relationship Id="rId252" Type="http://schemas.openxmlformats.org/officeDocument/2006/relationships/hyperlink" Target="https://github.com/kufu/smarthr-ui/pull/4302" TargetMode="External"/><Relationship Id="rId47" Type="http://schemas.openxmlformats.org/officeDocument/2006/relationships/hyperlink" Target="https://github.com/contentful/forma-36/pull/2436" TargetMode="External"/><Relationship Id="rId112" Type="http://schemas.openxmlformats.org/officeDocument/2006/relationships/hyperlink" Target="https://github.com/adobe/react-spectrum/pull/4243" TargetMode="External"/><Relationship Id="rId557" Type="http://schemas.openxmlformats.org/officeDocument/2006/relationships/hyperlink" Target="https://github.com/ntls-io/nautilus-wallet/pull/28" TargetMode="External"/><Relationship Id="rId764" Type="http://schemas.openxmlformats.org/officeDocument/2006/relationships/hyperlink" Target="https://github.com/guardian/dotcom-rendering/pull/5128" TargetMode="External"/><Relationship Id="rId971" Type="http://schemas.openxmlformats.org/officeDocument/2006/relationships/hyperlink" Target="https://github.com/twilio-labs/paste/pull/2602" TargetMode="External"/><Relationship Id="rId196" Type="http://schemas.openxmlformats.org/officeDocument/2006/relationships/hyperlink" Target="https://github.com/Esri/calcite-design-system/pull/7568" TargetMode="External"/><Relationship Id="rId417" Type="http://schemas.openxmlformats.org/officeDocument/2006/relationships/hyperlink" Target="https://github.com/guardian/dotcom-rendering/pull/12298" TargetMode="External"/><Relationship Id="rId624" Type="http://schemas.openxmlformats.org/officeDocument/2006/relationships/hyperlink" Target="https://github.com/storybookjs/storybook/pull/16178" TargetMode="External"/><Relationship Id="rId831" Type="http://schemas.openxmlformats.org/officeDocument/2006/relationships/hyperlink" Target="https://github.com/WPMedia/arc-themes-blocks/pull/1462" TargetMode="External"/><Relationship Id="rId263" Type="http://schemas.openxmlformats.org/officeDocument/2006/relationships/hyperlink" Target="https://github.com/kufu/smarthr-ui/pull/4479" TargetMode="External"/><Relationship Id="rId470" Type="http://schemas.openxmlformats.org/officeDocument/2006/relationships/hyperlink" Target="https://github.com/Khan/wonder-blocks/pull/2441" TargetMode="External"/><Relationship Id="rId929" Type="http://schemas.openxmlformats.org/officeDocument/2006/relationships/hyperlink" Target="https://github.com/storybookjs/storybook/pull/14528" TargetMode="External"/><Relationship Id="rId58" Type="http://schemas.openxmlformats.org/officeDocument/2006/relationships/hyperlink" Target="https://github.com/backstage/backstage/pull/21482" TargetMode="External"/><Relationship Id="rId123" Type="http://schemas.openxmlformats.org/officeDocument/2006/relationships/hyperlink" Target="https://github.com/epicmaxco/vuestic-ui/pull/3729" TargetMode="External"/><Relationship Id="rId330" Type="http://schemas.openxmlformats.org/officeDocument/2006/relationships/hyperlink" Target="https://github.com/ni/nimble/pull/2167" TargetMode="External"/><Relationship Id="rId568" Type="http://schemas.openxmlformats.org/officeDocument/2006/relationships/hyperlink" Target="https://github.com/Sage/carbon/pull/3498" TargetMode="External"/><Relationship Id="rId775" Type="http://schemas.openxmlformats.org/officeDocument/2006/relationships/hyperlink" Target="https://github.com/hackworthltd/primer-app/pull/213" TargetMode="External"/><Relationship Id="rId982" Type="http://schemas.openxmlformats.org/officeDocument/2006/relationships/hyperlink" Target="https://github.com/iterative/vscode-dvc/pull/2850" TargetMode="External"/><Relationship Id="rId428" Type="http://schemas.openxmlformats.org/officeDocument/2006/relationships/hyperlink" Target="https://github.com/VOICEVOX/voicevox/pull/2287" TargetMode="External"/><Relationship Id="rId635" Type="http://schemas.openxmlformats.org/officeDocument/2006/relationships/hyperlink" Target="https://github.com/hackworthltd/primer-app/pull/112" TargetMode="External"/><Relationship Id="rId842" Type="http://schemas.openxmlformats.org/officeDocument/2006/relationships/hyperlink" Target="https://github.com/launchdarkly/launchpad-ui/pull/351" TargetMode="External"/><Relationship Id="rId274" Type="http://schemas.openxmlformats.org/officeDocument/2006/relationships/hyperlink" Target="https://github.com/guardian/dotcom-rendering/pull/9792" TargetMode="External"/><Relationship Id="rId481" Type="http://schemas.openxmlformats.org/officeDocument/2006/relationships/hyperlink" Target="https://github.com/chromaui/chromatic-e2e/pull/207" TargetMode="External"/><Relationship Id="rId702" Type="http://schemas.openxmlformats.org/officeDocument/2006/relationships/hyperlink" Target="https://github.com/guardian/gateway/pull/1575" TargetMode="External"/><Relationship Id="rId69" Type="http://schemas.openxmlformats.org/officeDocument/2006/relationships/hyperlink" Target="https://github.com/storybookjs/storybook/pull/22336" TargetMode="External"/><Relationship Id="rId134" Type="http://schemas.openxmlformats.org/officeDocument/2006/relationships/hyperlink" Target="https://github.com/guardian/dotcom-rendering/pull/8478" TargetMode="External"/><Relationship Id="rId579" Type="http://schemas.openxmlformats.org/officeDocument/2006/relationships/hyperlink" Target="https://github.com/WPMedia/arc-themes-blocks/pull/1044" TargetMode="External"/><Relationship Id="rId786" Type="http://schemas.openxmlformats.org/officeDocument/2006/relationships/hyperlink" Target="https://github.com/homebound-team/beam/pull/550" TargetMode="External"/><Relationship Id="rId993" Type="http://schemas.openxmlformats.org/officeDocument/2006/relationships/hyperlink" Target="https://github.com/Khan/wonder-blocks/pull/2661" TargetMode="External"/><Relationship Id="rId341" Type="http://schemas.openxmlformats.org/officeDocument/2006/relationships/hyperlink" Target="https://github.com/ni/nimble/pull/2189" TargetMode="External"/><Relationship Id="rId439" Type="http://schemas.openxmlformats.org/officeDocument/2006/relationships/hyperlink" Target="https://github.com/ni/nimble/pull/2315" TargetMode="External"/><Relationship Id="rId646" Type="http://schemas.openxmlformats.org/officeDocument/2006/relationships/hyperlink" Target="https://github.com/ntls-io/nautilus-wallet/pull/28" TargetMode="External"/><Relationship Id="rId201" Type="http://schemas.openxmlformats.org/officeDocument/2006/relationships/hyperlink" Target="https://github.com/AmazeeLabs/silverback-template/pull/132" TargetMode="External"/><Relationship Id="rId285" Type="http://schemas.openxmlformats.org/officeDocument/2006/relationships/hyperlink" Target="https://github.com/wellcomecollection/wellcomecollection.org/pull/10792" TargetMode="External"/><Relationship Id="rId506" Type="http://schemas.openxmlformats.org/officeDocument/2006/relationships/hyperlink" Target="https://github.com/CruGlobal/mpdx-react/pull/25" TargetMode="External"/><Relationship Id="rId853" Type="http://schemas.openxmlformats.org/officeDocument/2006/relationships/hyperlink" Target="https://github.com/guardian/dotcom-rendering/pull/5128" TargetMode="External"/><Relationship Id="rId492" Type="http://schemas.openxmlformats.org/officeDocument/2006/relationships/hyperlink" Target="https://github.com/contentful/forma-36/pull/757" TargetMode="External"/><Relationship Id="rId713" Type="http://schemas.openxmlformats.org/officeDocument/2006/relationships/hyperlink" Target="https://github.com/lena1687/react-game-project/pull/1" TargetMode="External"/><Relationship Id="rId797" Type="http://schemas.openxmlformats.org/officeDocument/2006/relationships/hyperlink" Target="https://github.com/WPMedia/arc-themes-components/pull/116" TargetMode="External"/><Relationship Id="rId920" Type="http://schemas.openxmlformats.org/officeDocument/2006/relationships/hyperlink" Target="https://github.com/chanzuckerberg/edu-design-system/pull/1440" TargetMode="External"/><Relationship Id="rId145" Type="http://schemas.openxmlformats.org/officeDocument/2006/relationships/hyperlink" Target="https://github.com/forkfacts/forkfacts-v2/pull/26" TargetMode="External"/><Relationship Id="rId352" Type="http://schemas.openxmlformats.org/officeDocument/2006/relationships/hyperlink" Target="https://github.com/Crystal-Creations-GbR/crystal-components/pull/70" TargetMode="External"/><Relationship Id="rId212" Type="http://schemas.openxmlformats.org/officeDocument/2006/relationships/hyperlink" Target="https://github.com/adobe/react-spectrum/pull/5705" TargetMode="External"/><Relationship Id="rId657" Type="http://schemas.openxmlformats.org/officeDocument/2006/relationships/hyperlink" Target="https://github.com/titicacadev/triple-frontend/pull/1762" TargetMode="External"/><Relationship Id="rId864" Type="http://schemas.openxmlformats.org/officeDocument/2006/relationships/hyperlink" Target="https://github.com/chanzuckerberg/edu-design-system/pull/1322" TargetMode="External"/><Relationship Id="rId296" Type="http://schemas.openxmlformats.org/officeDocument/2006/relationships/hyperlink" Target="https://github.com/recharts/recharts/pull/4441" TargetMode="External"/><Relationship Id="rId517" Type="http://schemas.openxmlformats.org/officeDocument/2006/relationships/hyperlink" Target="https://github.com/Longhorn-Developers/UT-Registration-Plus/pull/425" TargetMode="External"/><Relationship Id="rId724" Type="http://schemas.openxmlformats.org/officeDocument/2006/relationships/hyperlink" Target="https://github.com/hackworthltd/primer-app/pull/112" TargetMode="External"/><Relationship Id="rId931" Type="http://schemas.openxmlformats.org/officeDocument/2006/relationships/hyperlink" Target="https://github.com/tablecheck/tablekit/pull/122" TargetMode="External"/><Relationship Id="rId60" Type="http://schemas.openxmlformats.org/officeDocument/2006/relationships/hyperlink" Target="https://github.com/coder/coder/pull/7210" TargetMode="External"/><Relationship Id="rId156" Type="http://schemas.openxmlformats.org/officeDocument/2006/relationships/hyperlink" Target="https://github.com/Esri/calcite-design-system/pull/8055" TargetMode="External"/><Relationship Id="rId363" Type="http://schemas.openxmlformats.org/officeDocument/2006/relationships/hyperlink" Target="https://github.com/sillsdev/web-xforge/pull/2557" TargetMode="External"/><Relationship Id="rId570" Type="http://schemas.openxmlformats.org/officeDocument/2006/relationships/hyperlink" Target="https://github.com/storybookjs/storybook/pull/15556" TargetMode="External"/><Relationship Id="rId1007" Type="http://schemas.openxmlformats.org/officeDocument/2006/relationships/hyperlink" Target="https://github.com/recharts/recharts/pull/6059" TargetMode="External"/><Relationship Id="rId223" Type="http://schemas.openxmlformats.org/officeDocument/2006/relationships/hyperlink" Target="https://github.com/chromaui/addon-visual-tests/pull/69" TargetMode="External"/><Relationship Id="rId430" Type="http://schemas.openxmlformats.org/officeDocument/2006/relationships/hyperlink" Target="https://github.com/Esri/calcite-design-system/pull/9912" TargetMode="External"/><Relationship Id="rId668" Type="http://schemas.openxmlformats.org/officeDocument/2006/relationships/hyperlink" Target="https://github.com/homebound-team/beam/pull/409" TargetMode="External"/><Relationship Id="rId875" Type="http://schemas.openxmlformats.org/officeDocument/2006/relationships/hyperlink" Target="https://github.com/coder/coder/pull/4810" TargetMode="External"/><Relationship Id="rId18" Type="http://schemas.openxmlformats.org/officeDocument/2006/relationships/hyperlink" Target="https://github.com/storybookjs/storybook/pull/20995" TargetMode="External"/><Relationship Id="rId528" Type="http://schemas.openxmlformats.org/officeDocument/2006/relationships/hyperlink" Target="https://github.com/storybookjs/storybook/pull/15059" TargetMode="External"/><Relationship Id="rId735" Type="http://schemas.openxmlformats.org/officeDocument/2006/relationships/hyperlink" Target="https://github.com/WPMedia/arc-themes-blocks/pull/1332" TargetMode="External"/><Relationship Id="rId942" Type="http://schemas.openxmlformats.org/officeDocument/2006/relationships/hyperlink" Target="https://github.com/temporalio/ui/pull/2599" TargetMode="External"/><Relationship Id="rId167" Type="http://schemas.openxmlformats.org/officeDocument/2006/relationships/hyperlink" Target="https://github.com/navikt/aksel/pull/2395" TargetMode="External"/><Relationship Id="rId374" Type="http://schemas.openxmlformats.org/officeDocument/2006/relationships/hyperlink" Target="https://github.com/evidence-dev/evidence/pull/2317" TargetMode="External"/><Relationship Id="rId581" Type="http://schemas.openxmlformats.org/officeDocument/2006/relationships/hyperlink" Target="https://github.com/sberdevices/plasma/pull/676" TargetMode="External"/><Relationship Id="rId1018" Type="http://schemas.openxmlformats.org/officeDocument/2006/relationships/hyperlink" Target="https://github.com/Khan/wonder-blocks/pull/2786" TargetMode="External"/><Relationship Id="rId71" Type="http://schemas.openxmlformats.org/officeDocument/2006/relationships/hyperlink" Target="https://github.com/ForgeRock/forgerock-web-login-framework/pull/121" TargetMode="External"/><Relationship Id="rId234" Type="http://schemas.openxmlformats.org/officeDocument/2006/relationships/hyperlink" Target="https://github.com/storybookjs/storybook/pull/25460" TargetMode="External"/><Relationship Id="rId679" Type="http://schemas.openxmlformats.org/officeDocument/2006/relationships/hyperlink" Target="https://github.com/WPMedia/arc-themes-blocks/pull/1019" TargetMode="External"/><Relationship Id="rId802" Type="http://schemas.openxmlformats.org/officeDocument/2006/relationships/hyperlink" Target="https://github.com/lena1687/react-game-project/pull/1" TargetMode="External"/><Relationship Id="rId886" Type="http://schemas.openxmlformats.org/officeDocument/2006/relationships/hyperlink" Target="https://github.com/WPMedia/arc-themes-components/pull/116" TargetMode="External"/><Relationship Id="rId2" Type="http://schemas.openxmlformats.org/officeDocument/2006/relationships/hyperlink" Target="https://github.com/storybookjs/storybook/pull/20712" TargetMode="External"/><Relationship Id="rId29" Type="http://schemas.openxmlformats.org/officeDocument/2006/relationships/hyperlink" Target="https://github.com/ithaka/pharos/pull/503" TargetMode="External"/><Relationship Id="rId441" Type="http://schemas.openxmlformats.org/officeDocument/2006/relationships/hyperlink" Target="https://github.com/opendatasoft/ods-dataviz-sdk/pull/266" TargetMode="External"/><Relationship Id="rId539" Type="http://schemas.openxmlformats.org/officeDocument/2006/relationships/hyperlink" Target="https://github.com/grommet/grommet/pull/5213" TargetMode="External"/><Relationship Id="rId746" Type="http://schemas.openxmlformats.org/officeDocument/2006/relationships/hyperlink" Target="https://github.com/coder/coder/pull/1574" TargetMode="External"/><Relationship Id="rId178" Type="http://schemas.openxmlformats.org/officeDocument/2006/relationships/hyperlink" Target="https://github.com/Sage-Bionetworks/synapse-web-monorepo/pull/319" TargetMode="External"/><Relationship Id="rId301" Type="http://schemas.openxmlformats.org/officeDocument/2006/relationships/hyperlink" Target="https://github.com/Esri/calcite-design-system/pull/8561" TargetMode="External"/><Relationship Id="rId953" Type="http://schemas.openxmlformats.org/officeDocument/2006/relationships/hyperlink" Target="https://github.com/Workday/canvas-kit/pull/1426" TargetMode="External"/><Relationship Id="rId82" Type="http://schemas.openxmlformats.org/officeDocument/2006/relationships/hyperlink" Target="https://github.com/storybookjs/storybook/pull/20712" TargetMode="External"/><Relationship Id="rId385" Type="http://schemas.openxmlformats.org/officeDocument/2006/relationships/hyperlink" Target="https://github.com/misskey-dev/misskey/pull/13830" TargetMode="External"/><Relationship Id="rId592" Type="http://schemas.openxmlformats.org/officeDocument/2006/relationships/hyperlink" Target="https://github.com/cultureamp/kaizen-design-system/pull/1053" TargetMode="External"/><Relationship Id="rId606" Type="http://schemas.openxmlformats.org/officeDocument/2006/relationships/hyperlink" Target="https://github.com/guardian/gateway/pull/791" TargetMode="External"/><Relationship Id="rId813" Type="http://schemas.openxmlformats.org/officeDocument/2006/relationships/hyperlink" Target="https://github.com/cerebrl/forgerock-web-login-framework/pull/6" TargetMode="External"/><Relationship Id="rId245" Type="http://schemas.openxmlformats.org/officeDocument/2006/relationships/hyperlink" Target="https://github.com/department-of-veterans-affairs/component-library/pull/1073" TargetMode="External"/><Relationship Id="rId452" Type="http://schemas.openxmlformats.org/officeDocument/2006/relationships/hyperlink" Target="https://github.com/fortanix/baklava/pull/54" TargetMode="External"/><Relationship Id="rId897" Type="http://schemas.openxmlformats.org/officeDocument/2006/relationships/hyperlink" Target="https://github.com/ni/nimble/pull/834" TargetMode="External"/><Relationship Id="rId105" Type="http://schemas.openxmlformats.org/officeDocument/2006/relationships/hyperlink" Target="https://github.com/contentful/forma-36/pull/2520" TargetMode="External"/><Relationship Id="rId312" Type="http://schemas.openxmlformats.org/officeDocument/2006/relationships/hyperlink" Target="https://github.com/cloudblue/connect-ui-toolkit/pull/92" TargetMode="External"/><Relationship Id="rId757" Type="http://schemas.openxmlformats.org/officeDocument/2006/relationships/hyperlink" Target="https://github.com/homebound-team/beam/pull/409" TargetMode="External"/><Relationship Id="rId964" Type="http://schemas.openxmlformats.org/officeDocument/2006/relationships/hyperlink" Target="https://github.com/chanzuckerberg/edu-design-system/pull/1346" TargetMode="External"/><Relationship Id="rId93" Type="http://schemas.openxmlformats.org/officeDocument/2006/relationships/hyperlink" Target="https://github.com/contentful/forma-36/pull/2498" TargetMode="External"/><Relationship Id="rId189" Type="http://schemas.openxmlformats.org/officeDocument/2006/relationships/hyperlink" Target="https://github.com/daydule/frontend/pull/71" TargetMode="External"/><Relationship Id="rId396" Type="http://schemas.openxmlformats.org/officeDocument/2006/relationships/hyperlink" Target="https://github.com/chromaui/chromatic-e2e/pull/207" TargetMode="External"/><Relationship Id="rId617" Type="http://schemas.openxmlformats.org/officeDocument/2006/relationships/hyperlink" Target="https://github.com/WPMedia/arc-themes-blocks/pull/1092" TargetMode="External"/><Relationship Id="rId824" Type="http://schemas.openxmlformats.org/officeDocument/2006/relationships/hyperlink" Target="https://github.com/WPMedia/arc-themes-blocks/pull/1481" TargetMode="External"/><Relationship Id="rId256" Type="http://schemas.openxmlformats.org/officeDocument/2006/relationships/hyperlink" Target="https://github.com/kufu/smarthr-ui/pull/3975" TargetMode="External"/><Relationship Id="rId463" Type="http://schemas.openxmlformats.org/officeDocument/2006/relationships/hyperlink" Target="https://github.com/navikt/aksel/pull/3081" TargetMode="External"/><Relationship Id="rId670" Type="http://schemas.openxmlformats.org/officeDocument/2006/relationships/hyperlink" Target="https://github.com/sberdevices/plasma/pull/676" TargetMode="External"/><Relationship Id="rId116" Type="http://schemas.openxmlformats.org/officeDocument/2006/relationships/hyperlink" Target="https://github.com/Esri/calcite-design-system/pull/7568" TargetMode="External"/><Relationship Id="rId323" Type="http://schemas.openxmlformats.org/officeDocument/2006/relationships/hyperlink" Target="https://github.com/misskey-dev/misskey/pull/13779" TargetMode="External"/><Relationship Id="rId530" Type="http://schemas.openxmlformats.org/officeDocument/2006/relationships/hyperlink" Target="https://github.com/ithaka/pharos/pull/36" TargetMode="External"/><Relationship Id="rId768" Type="http://schemas.openxmlformats.org/officeDocument/2006/relationships/hyperlink" Target="https://github.com/WPMedia/arc-themes-blocks/pull/1373" TargetMode="External"/><Relationship Id="rId975" Type="http://schemas.openxmlformats.org/officeDocument/2006/relationships/hyperlink" Target="https://github.com/coder/coder/pull/17822" TargetMode="External"/><Relationship Id="rId20" Type="http://schemas.openxmlformats.org/officeDocument/2006/relationships/hyperlink" Target="https://github.com/guardian/dotcom-rendering/pull/7128" TargetMode="External"/><Relationship Id="rId628" Type="http://schemas.openxmlformats.org/officeDocument/2006/relationships/hyperlink" Target="https://github.com/grommet/grommet/pull/5213" TargetMode="External"/><Relationship Id="rId835" Type="http://schemas.openxmlformats.org/officeDocument/2006/relationships/hyperlink" Target="https://github.com/coder/coder/pull/1574" TargetMode="External"/><Relationship Id="rId267" Type="http://schemas.openxmlformats.org/officeDocument/2006/relationships/hyperlink" Target="https://github.com/danskernesdigitalebibliotek/dpl-design-system/pull/542" TargetMode="External"/><Relationship Id="rId474" Type="http://schemas.openxmlformats.org/officeDocument/2006/relationships/hyperlink" Target="https://github.com/serendie/serendie/pull/28" TargetMode="External"/><Relationship Id="rId127" Type="http://schemas.openxmlformats.org/officeDocument/2006/relationships/hyperlink" Target="https://github.com/contentful/forma-36/pull/2436" TargetMode="External"/><Relationship Id="rId681" Type="http://schemas.openxmlformats.org/officeDocument/2006/relationships/hyperlink" Target="https://github.com/Workday/canvas-kit/pull/1441" TargetMode="External"/><Relationship Id="rId779" Type="http://schemas.openxmlformats.org/officeDocument/2006/relationships/hyperlink" Target="https://github.com/coder/coder/pull/2103" TargetMode="External"/><Relationship Id="rId902" Type="http://schemas.openxmlformats.org/officeDocument/2006/relationships/hyperlink" Target="https://github.com/Khan/wonder-blocks/pull/1645" TargetMode="External"/><Relationship Id="rId986" Type="http://schemas.openxmlformats.org/officeDocument/2006/relationships/hyperlink" Target="https://github.com/coder/coder/pull/11609" TargetMode="External"/><Relationship Id="rId31" Type="http://schemas.openxmlformats.org/officeDocument/2006/relationships/hyperlink" Target="https://github.com/storybookjs/storybook/pull/17756" TargetMode="External"/><Relationship Id="rId334" Type="http://schemas.openxmlformats.org/officeDocument/2006/relationships/hyperlink" Target="https://github.com/storybookjs/storybook/pull/26254" TargetMode="External"/><Relationship Id="rId541" Type="http://schemas.openxmlformats.org/officeDocument/2006/relationships/hyperlink" Target="https://github.com/fortanix/baklava/pull/54" TargetMode="External"/><Relationship Id="rId639" Type="http://schemas.openxmlformats.org/officeDocument/2006/relationships/hyperlink" Target="https://github.com/ntls-io/nautilus-wallet/pull/136" TargetMode="External"/><Relationship Id="rId180" Type="http://schemas.openxmlformats.org/officeDocument/2006/relationships/hyperlink" Target="https://github.com/guardian/support-frontend/pull/5429" TargetMode="External"/><Relationship Id="rId278" Type="http://schemas.openxmlformats.org/officeDocument/2006/relationships/hyperlink" Target="https://github.com/NeurodataWithoutBorders/nwb-guide/pull/674" TargetMode="External"/><Relationship Id="rId401" Type="http://schemas.openxmlformats.org/officeDocument/2006/relationships/hyperlink" Target="https://github.com/Esri/calcite-design-system/pull/10343" TargetMode="External"/><Relationship Id="rId846" Type="http://schemas.openxmlformats.org/officeDocument/2006/relationships/hyperlink" Target="https://github.com/storybookjs/storybook/pull/19189" TargetMode="External"/><Relationship Id="rId485" Type="http://schemas.openxmlformats.org/officeDocument/2006/relationships/hyperlink" Target="https://github.com/getappmap/appmap-js/pull/57" TargetMode="External"/><Relationship Id="rId692" Type="http://schemas.openxmlformats.org/officeDocument/2006/relationships/hyperlink" Target="https://github.com/guardian/dotcom-rendering/pull/3988" TargetMode="External"/><Relationship Id="rId706" Type="http://schemas.openxmlformats.org/officeDocument/2006/relationships/hyperlink" Target="https://github.com/WPMedia/arc-themes-blocks/pull/1092" TargetMode="External"/><Relationship Id="rId913" Type="http://schemas.openxmlformats.org/officeDocument/2006/relationships/hyperlink" Target="https://github.com/WPMedia/arc-themes-blocks/pull/1481" TargetMode="External"/><Relationship Id="rId42" Type="http://schemas.openxmlformats.org/officeDocument/2006/relationships/hyperlink" Target="https://github.com/seek-oss/braid-design-system/pull/1240" TargetMode="External"/><Relationship Id="rId138" Type="http://schemas.openxmlformats.org/officeDocument/2006/relationships/hyperlink" Target="https://github.com/adobe/react-spectrum/pull/4972" TargetMode="External"/><Relationship Id="rId345" Type="http://schemas.openxmlformats.org/officeDocument/2006/relationships/hyperlink" Target="https://github.com/storybookjs/storybook/pull/28739" TargetMode="External"/><Relationship Id="rId552" Type="http://schemas.openxmlformats.org/officeDocument/2006/relationships/hyperlink" Target="https://github.com/microsoft/iot-cardboard-js/pull/78" TargetMode="External"/><Relationship Id="rId997" Type="http://schemas.openxmlformats.org/officeDocument/2006/relationships/hyperlink" Target="https://github.com/Khan/wonder-blocks/pull/1645" TargetMode="External"/><Relationship Id="rId191" Type="http://schemas.openxmlformats.org/officeDocument/2006/relationships/hyperlink" Target="https://github.com/sbb-design-systems/lyne-components/pull/2255" TargetMode="External"/><Relationship Id="rId205" Type="http://schemas.openxmlformats.org/officeDocument/2006/relationships/hyperlink" Target="https://github.com/NeurodataWithoutBorders/nwb-guide/pull/305" TargetMode="External"/><Relationship Id="rId412" Type="http://schemas.openxmlformats.org/officeDocument/2006/relationships/hyperlink" Target="https://github.com/ni/nimble/pull/2167" TargetMode="External"/><Relationship Id="rId857" Type="http://schemas.openxmlformats.org/officeDocument/2006/relationships/hyperlink" Target="https://github.com/storybookjs/storybook/pull/19181" TargetMode="External"/><Relationship Id="rId289" Type="http://schemas.openxmlformats.org/officeDocument/2006/relationships/hyperlink" Target="https://github.com/adobe/react-spectrum/pull/5705" TargetMode="External"/><Relationship Id="rId496" Type="http://schemas.openxmlformats.org/officeDocument/2006/relationships/hyperlink" Target="https://github.com/evidence-dev/evidence/pull/2511" TargetMode="External"/><Relationship Id="rId717" Type="http://schemas.openxmlformats.org/officeDocument/2006/relationships/hyperlink" Target="https://github.com/curology/radiance-ui/pull/1470" TargetMode="External"/><Relationship Id="rId924" Type="http://schemas.openxmlformats.org/officeDocument/2006/relationships/hyperlink" Target="https://github.com/chanzuckerberg/edu-design-system/pull/1440" TargetMode="External"/><Relationship Id="rId53" Type="http://schemas.openxmlformats.org/officeDocument/2006/relationships/hyperlink" Target="https://github.com/sbb-design-systems/lyne-components/pull/1691" TargetMode="External"/><Relationship Id="rId149" Type="http://schemas.openxmlformats.org/officeDocument/2006/relationships/hyperlink" Target="https://github.com/bitwarden/clients/pull/6225" TargetMode="External"/><Relationship Id="rId356" Type="http://schemas.openxmlformats.org/officeDocument/2006/relationships/hyperlink" Target="https://github.com/ni/nimble/pull/2315" TargetMode="External"/><Relationship Id="rId563" Type="http://schemas.openxmlformats.org/officeDocument/2006/relationships/hyperlink" Target="https://github.com/cultureamp/kaizen-design-system/pull/1800" TargetMode="External"/><Relationship Id="rId770" Type="http://schemas.openxmlformats.org/officeDocument/2006/relationships/hyperlink" Target="https://github.com/WPMedia/arc-themes-blocks/pull/1386" TargetMode="External"/><Relationship Id="rId216" Type="http://schemas.openxmlformats.org/officeDocument/2006/relationships/hyperlink" Target="https://github.com/adobe/react-spectrum/pull/5705" TargetMode="External"/><Relationship Id="rId423" Type="http://schemas.openxmlformats.org/officeDocument/2006/relationships/hyperlink" Target="https://github.com/adobe/react-spectrum/pull/7284" TargetMode="External"/><Relationship Id="rId868" Type="http://schemas.openxmlformats.org/officeDocument/2006/relationships/hyperlink" Target="https://github.com/coder/coder/pull/2103" TargetMode="External"/><Relationship Id="rId630" Type="http://schemas.openxmlformats.org/officeDocument/2006/relationships/hyperlink" Target="https://github.com/proeco/proeco-client/pull/147" TargetMode="External"/><Relationship Id="rId728" Type="http://schemas.openxmlformats.org/officeDocument/2006/relationships/hyperlink" Target="https://github.com/WPMedia/arc-themes-blocks/pull/1345" TargetMode="External"/><Relationship Id="rId935" Type="http://schemas.openxmlformats.org/officeDocument/2006/relationships/hyperlink" Target="https://github.com/storybookjs/storybook/pull/15080" TargetMode="External"/><Relationship Id="rId64" Type="http://schemas.openxmlformats.org/officeDocument/2006/relationships/hyperlink" Target="https://github.com/recharts/recharts/pull/4561" TargetMode="External"/><Relationship Id="rId367" Type="http://schemas.openxmlformats.org/officeDocument/2006/relationships/hyperlink" Target="https://github.com/ethereum/ethereum-org-website/pull/12639" TargetMode="External"/><Relationship Id="rId574" Type="http://schemas.openxmlformats.org/officeDocument/2006/relationships/hyperlink" Target="https://github.com/getappmap/appmap-js/pull/57" TargetMode="External"/><Relationship Id="rId227" Type="http://schemas.openxmlformats.org/officeDocument/2006/relationships/hyperlink" Target="https://github.com/kufu/smarthr-ui/pull/4182" TargetMode="External"/><Relationship Id="rId781" Type="http://schemas.openxmlformats.org/officeDocument/2006/relationships/hyperlink" Target="https://github.com/guardian/dotcom-rendering/pull/3988" TargetMode="External"/><Relationship Id="rId879" Type="http://schemas.openxmlformats.org/officeDocument/2006/relationships/hyperlink" Target="https://github.com/guardian/dotcom-rendering/pull/6258" TargetMode="External"/><Relationship Id="rId434" Type="http://schemas.openxmlformats.org/officeDocument/2006/relationships/hyperlink" Target="https://github.com/Sage/carbon/pull/7091" TargetMode="External"/><Relationship Id="rId641" Type="http://schemas.openxmlformats.org/officeDocument/2006/relationships/hyperlink" Target="https://github.com/guardian/dotcom-rendering/pull/3645" TargetMode="External"/><Relationship Id="rId739" Type="http://schemas.openxmlformats.org/officeDocument/2006/relationships/hyperlink" Target="https://github.com/dpc-sdp/ripple/pull/1111" TargetMode="External"/><Relationship Id="rId280" Type="http://schemas.openxmlformats.org/officeDocument/2006/relationships/hyperlink" Target="https://github.com/AmazeeLabs/silverback-template/pull/132" TargetMode="External"/><Relationship Id="rId501" Type="http://schemas.openxmlformats.org/officeDocument/2006/relationships/hyperlink" Target="https://github.com/cultureamp/kaizen-design-system/pull/1053" TargetMode="External"/><Relationship Id="rId946" Type="http://schemas.openxmlformats.org/officeDocument/2006/relationships/hyperlink" Target="https://github.com/GCTC-NTGC/gc-digital-talent/pull/3865" TargetMode="External"/><Relationship Id="rId75" Type="http://schemas.openxmlformats.org/officeDocument/2006/relationships/hyperlink" Target="https://github.com/ForgeRock/forgerock-web-login-framework/pull/121" TargetMode="External"/><Relationship Id="rId140" Type="http://schemas.openxmlformats.org/officeDocument/2006/relationships/hyperlink" Target="https://github.com/guardian/dotcom-rendering/pull/8633" TargetMode="External"/><Relationship Id="rId378" Type="http://schemas.openxmlformats.org/officeDocument/2006/relationships/hyperlink" Target="https://github.com/kufu/smarthr-ui/pull/4821" TargetMode="External"/><Relationship Id="rId585" Type="http://schemas.openxmlformats.org/officeDocument/2006/relationships/hyperlink" Target="https://github.com/sberdevices/plasma/pull/676" TargetMode="External"/><Relationship Id="rId792" Type="http://schemas.openxmlformats.org/officeDocument/2006/relationships/hyperlink" Target="https://github.com/WPMedia/arc-themes-blocks/pull/1411" TargetMode="External"/><Relationship Id="rId806" Type="http://schemas.openxmlformats.org/officeDocument/2006/relationships/hyperlink" Target="https://github.com/coder/coder/pull/3189" TargetMode="External"/><Relationship Id="rId6" Type="http://schemas.openxmlformats.org/officeDocument/2006/relationships/hyperlink" Target="https://github.com/storybookjs/storybook/pull/20712" TargetMode="External"/><Relationship Id="rId238" Type="http://schemas.openxmlformats.org/officeDocument/2006/relationships/hyperlink" Target="https://github.com/recharts/recharts/pull/3908" TargetMode="External"/><Relationship Id="rId445" Type="http://schemas.openxmlformats.org/officeDocument/2006/relationships/hyperlink" Target="https://github.com/sillsdev/web-xforge/pull/2557" TargetMode="External"/><Relationship Id="rId652" Type="http://schemas.openxmlformats.org/officeDocument/2006/relationships/hyperlink" Target="https://github.com/cultureamp/kaizen-design-system/pull/1800" TargetMode="External"/><Relationship Id="rId291" Type="http://schemas.openxmlformats.org/officeDocument/2006/relationships/hyperlink" Target="https://github.com/ethereum/ethereum-org-website/pull/12639" TargetMode="External"/><Relationship Id="rId305" Type="http://schemas.openxmlformats.org/officeDocument/2006/relationships/hyperlink" Target="https://github.com/misskey-dev/misskey/pull/13830" TargetMode="External"/><Relationship Id="rId512" Type="http://schemas.openxmlformats.org/officeDocument/2006/relationships/hyperlink" Target="https://github.com/storybookjs/storybook/pull/14251" TargetMode="External"/><Relationship Id="rId957" Type="http://schemas.openxmlformats.org/officeDocument/2006/relationships/hyperlink" Target="https://github.com/adobe/spectrum-css/pull/3593" TargetMode="External"/><Relationship Id="rId86" Type="http://schemas.openxmlformats.org/officeDocument/2006/relationships/hyperlink" Target="https://github.com/input-output-hk/lace/pull/128" TargetMode="External"/><Relationship Id="rId151" Type="http://schemas.openxmlformats.org/officeDocument/2006/relationships/hyperlink" Target="https://github.com/ForgeRock/forgerock-web-login-framework/pull/121" TargetMode="External"/><Relationship Id="rId389" Type="http://schemas.openxmlformats.org/officeDocument/2006/relationships/hyperlink" Target="https://github.com/Khan/wonder-blocks/pull/2309" TargetMode="External"/><Relationship Id="rId596" Type="http://schemas.openxmlformats.org/officeDocument/2006/relationships/hyperlink" Target="https://github.com/guardian/gateway/pull/791" TargetMode="External"/><Relationship Id="rId817" Type="http://schemas.openxmlformats.org/officeDocument/2006/relationships/hyperlink" Target="https://github.com/WPMedia/arc-themes-blocks/pull/1345" TargetMode="External"/><Relationship Id="rId1002" Type="http://schemas.openxmlformats.org/officeDocument/2006/relationships/hyperlink" Target="https://github.com/kiva/kv-ui-elements/pull/597" TargetMode="External"/><Relationship Id="rId249" Type="http://schemas.openxmlformats.org/officeDocument/2006/relationships/hyperlink" Target="https://github.com/Esri/calcite-design-system/pull/8786" TargetMode="External"/><Relationship Id="rId456" Type="http://schemas.openxmlformats.org/officeDocument/2006/relationships/hyperlink" Target="https://github.com/ithaka/pharos/pull/862" TargetMode="External"/><Relationship Id="rId663" Type="http://schemas.openxmlformats.org/officeDocument/2006/relationships/hyperlink" Target="https://github.com/titicacadev/triple-frontend/pull/1754" TargetMode="External"/><Relationship Id="rId870" Type="http://schemas.openxmlformats.org/officeDocument/2006/relationships/hyperlink" Target="https://github.com/chanzuckerberg/edu-design-system/pull/1346" TargetMode="External"/><Relationship Id="rId13" Type="http://schemas.openxmlformats.org/officeDocument/2006/relationships/hyperlink" Target="https://github.com/storybookjs/storybook/pull/15080" TargetMode="External"/><Relationship Id="rId109" Type="http://schemas.openxmlformats.org/officeDocument/2006/relationships/hyperlink" Target="https://github.com/ithaka/pharos/pull/503" TargetMode="External"/><Relationship Id="rId316" Type="http://schemas.openxmlformats.org/officeDocument/2006/relationships/hyperlink" Target="https://github.com/ni/nimble/pull/1791" TargetMode="External"/><Relationship Id="rId523" Type="http://schemas.openxmlformats.org/officeDocument/2006/relationships/hyperlink" Target="https://github.com/Esri/calcite-design-system/pull/10820" TargetMode="External"/><Relationship Id="rId968" Type="http://schemas.openxmlformats.org/officeDocument/2006/relationships/hyperlink" Target="https://github.com/twilio-labs/paste/pull/2602" TargetMode="External"/><Relationship Id="rId97" Type="http://schemas.openxmlformats.org/officeDocument/2006/relationships/hyperlink" Target="https://github.com/storybookjs/storybook/pull/20995" TargetMode="External"/><Relationship Id="rId730" Type="http://schemas.openxmlformats.org/officeDocument/2006/relationships/hyperlink" Target="https://github.com/guardian/dotcom-rendering/pull/3645" TargetMode="External"/><Relationship Id="rId828" Type="http://schemas.openxmlformats.org/officeDocument/2006/relationships/hyperlink" Target="https://github.com/WPMedia/arc-themes-blocks/pull/1462" TargetMode="External"/><Relationship Id="rId1013" Type="http://schemas.openxmlformats.org/officeDocument/2006/relationships/hyperlink" Target="https://github.com/Khan/wonder-blocks/pull/2758" TargetMode="External"/><Relationship Id="rId162" Type="http://schemas.openxmlformats.org/officeDocument/2006/relationships/hyperlink" Target="https://github.com/recharts/recharts/pull/3908" TargetMode="External"/><Relationship Id="rId467" Type="http://schemas.openxmlformats.org/officeDocument/2006/relationships/hyperlink" Target="https://github.com/Esri/calcite-design-system/pull/11215" TargetMode="External"/><Relationship Id="rId674" Type="http://schemas.openxmlformats.org/officeDocument/2006/relationships/hyperlink" Target="https://github.com/Khan/wonder-blocks/pull/1257" TargetMode="External"/><Relationship Id="rId881" Type="http://schemas.openxmlformats.org/officeDocument/2006/relationships/hyperlink" Target="https://github.com/guardian/dotcom-rendering/pull/6235" TargetMode="External"/><Relationship Id="rId979" Type="http://schemas.openxmlformats.org/officeDocument/2006/relationships/hyperlink" Target="https://github.com/Trendyol/baklava/pull/327" TargetMode="External"/><Relationship Id="rId24" Type="http://schemas.openxmlformats.org/officeDocument/2006/relationships/hyperlink" Target="https://github.com/guardian/dotcom-rendering/pull/7128" TargetMode="External"/><Relationship Id="rId327" Type="http://schemas.openxmlformats.org/officeDocument/2006/relationships/hyperlink" Target="https://github.com/Esri/calcite-design-system/pull/9688" TargetMode="External"/><Relationship Id="rId534" Type="http://schemas.openxmlformats.org/officeDocument/2006/relationships/hyperlink" Target="https://github.com/WPMedia/arc-themes-blocks/pull/862" TargetMode="External"/><Relationship Id="rId741" Type="http://schemas.openxmlformats.org/officeDocument/2006/relationships/hyperlink" Target="https://github.com/contentful/forma-36/pull/2057" TargetMode="External"/><Relationship Id="rId839" Type="http://schemas.openxmlformats.org/officeDocument/2006/relationships/hyperlink" Target="https://github.com/chanzuckerberg/sci-components/pull/236" TargetMode="External"/><Relationship Id="rId173" Type="http://schemas.openxmlformats.org/officeDocument/2006/relationships/hyperlink" Target="https://github.com/kufu/smarthr-ui/pull/3975" TargetMode="External"/><Relationship Id="rId380" Type="http://schemas.openxmlformats.org/officeDocument/2006/relationships/hyperlink" Target="https://github.com/navikt/aksel/pull/3081" TargetMode="External"/><Relationship Id="rId601" Type="http://schemas.openxmlformats.org/officeDocument/2006/relationships/hyperlink" Target="https://github.com/storybookjs/storybook/pull/14251" TargetMode="External"/><Relationship Id="rId240" Type="http://schemas.openxmlformats.org/officeDocument/2006/relationships/hyperlink" Target="https://github.com/danskernesdigitalebibliotek/dpl-design-system/pull/518" TargetMode="External"/><Relationship Id="rId478" Type="http://schemas.openxmlformats.org/officeDocument/2006/relationships/hyperlink" Target="https://github.com/chromaui/chromatic-e2e/pull/207" TargetMode="External"/><Relationship Id="rId685" Type="http://schemas.openxmlformats.org/officeDocument/2006/relationships/hyperlink" Target="https://github.com/guardian/gateway/pull/791" TargetMode="External"/><Relationship Id="rId892" Type="http://schemas.openxmlformats.org/officeDocument/2006/relationships/hyperlink" Target="https://github.com/coder/coder/pull/3189" TargetMode="External"/><Relationship Id="rId906" Type="http://schemas.openxmlformats.org/officeDocument/2006/relationships/hyperlink" Target="https://github.com/guardian/dotcom-rendering/pull/6405" TargetMode="External"/><Relationship Id="rId35" Type="http://schemas.openxmlformats.org/officeDocument/2006/relationships/hyperlink" Target="https://github.com/NeurodataWithoutBorders/nwb-guide/pull/74" TargetMode="External"/><Relationship Id="rId100" Type="http://schemas.openxmlformats.org/officeDocument/2006/relationships/hyperlink" Target="https://github.com/guardian/dotcom-rendering/pull/7128" TargetMode="External"/><Relationship Id="rId338" Type="http://schemas.openxmlformats.org/officeDocument/2006/relationships/hyperlink" Target="https://github.com/jpmorganchase/salt-ds/pull/3551" TargetMode="External"/><Relationship Id="rId545" Type="http://schemas.openxmlformats.org/officeDocument/2006/relationships/hyperlink" Target="https://github.com/adobe/react-spectrum/pull/2057" TargetMode="External"/><Relationship Id="rId752" Type="http://schemas.openxmlformats.org/officeDocument/2006/relationships/hyperlink" Target="https://github.com/chanzuckerberg/edu-design-system/pull/1083" TargetMode="External"/><Relationship Id="rId184" Type="http://schemas.openxmlformats.org/officeDocument/2006/relationships/hyperlink" Target="https://github.com/contentful/forma-36/pull/2520" TargetMode="External"/><Relationship Id="rId391" Type="http://schemas.openxmlformats.org/officeDocument/2006/relationships/hyperlink" Target="https://github.com/cloudblue/connect-ui-toolkit/pull/92" TargetMode="External"/><Relationship Id="rId405" Type="http://schemas.openxmlformats.org/officeDocument/2006/relationships/hyperlink" Target="https://github.com/chromaui/chromatic-e2e/pull/203" TargetMode="External"/><Relationship Id="rId612" Type="http://schemas.openxmlformats.org/officeDocument/2006/relationships/hyperlink" Target="https://github.com/eisbuk/EisBuk/pull/183" TargetMode="External"/><Relationship Id="rId251" Type="http://schemas.openxmlformats.org/officeDocument/2006/relationships/hyperlink" Target="https://github.com/kufu/smarthr-ui/pull/4302" TargetMode="External"/><Relationship Id="rId489" Type="http://schemas.openxmlformats.org/officeDocument/2006/relationships/hyperlink" Target="https://github.com/storybookjs/storybook/pull/13685" TargetMode="External"/><Relationship Id="rId696" Type="http://schemas.openxmlformats.org/officeDocument/2006/relationships/hyperlink" Target="https://github.com/guardian/dotcom-rendering/pull/3897" TargetMode="External"/><Relationship Id="rId917" Type="http://schemas.openxmlformats.org/officeDocument/2006/relationships/hyperlink" Target="https://github.com/ni/nimble/pull/927" TargetMode="External"/><Relationship Id="rId46" Type="http://schemas.openxmlformats.org/officeDocument/2006/relationships/hyperlink" Target="https://github.com/twilio-labs/paste/pull/2602" TargetMode="External"/><Relationship Id="rId349" Type="http://schemas.openxmlformats.org/officeDocument/2006/relationships/hyperlink" Target="https://github.com/navikt/aksel/pull/2795" TargetMode="External"/><Relationship Id="rId556" Type="http://schemas.openxmlformats.org/officeDocument/2006/relationships/hyperlink" Target="https://github.com/Esri/calcite-design-system/pull/11215" TargetMode="External"/><Relationship Id="rId763" Type="http://schemas.openxmlformats.org/officeDocument/2006/relationships/hyperlink" Target="https://github.com/Khan/wonder-blocks/pull/1257" TargetMode="External"/><Relationship Id="rId111" Type="http://schemas.openxmlformats.org/officeDocument/2006/relationships/hyperlink" Target="https://github.com/isomerpages/isomercms-frontend/pull/1435" TargetMode="External"/><Relationship Id="rId195" Type="http://schemas.openxmlformats.org/officeDocument/2006/relationships/hyperlink" Target="https://github.com/guardian/dotcom-rendering/pull/9792" TargetMode="External"/><Relationship Id="rId209" Type="http://schemas.openxmlformats.org/officeDocument/2006/relationships/hyperlink" Target="https://github.com/adobe/react-spectrum/pull/5705" TargetMode="External"/><Relationship Id="rId416" Type="http://schemas.openxmlformats.org/officeDocument/2006/relationships/hyperlink" Target="https://github.com/guardian/dotcom-rendering/pull/12298" TargetMode="External"/><Relationship Id="rId970" Type="http://schemas.openxmlformats.org/officeDocument/2006/relationships/hyperlink" Target="https://github.com/coder/coder/pull/4810" TargetMode="External"/><Relationship Id="rId623" Type="http://schemas.openxmlformats.org/officeDocument/2006/relationships/hyperlink" Target="https://github.com/storybookjs/storybook/pull/16178" TargetMode="External"/><Relationship Id="rId830" Type="http://schemas.openxmlformats.org/officeDocument/2006/relationships/hyperlink" Target="https://github.com/WPMedia/arc-themes-blocks/pull/1462" TargetMode="External"/><Relationship Id="rId928" Type="http://schemas.openxmlformats.org/officeDocument/2006/relationships/hyperlink" Target="https://github.com/chanzuckerberg/sci-components/pull/236" TargetMode="External"/><Relationship Id="rId57" Type="http://schemas.openxmlformats.org/officeDocument/2006/relationships/hyperlink" Target="https://github.com/livechat/design-system/pull/518" TargetMode="External"/><Relationship Id="rId262" Type="http://schemas.openxmlformats.org/officeDocument/2006/relationships/hyperlink" Target="https://github.com/coder/coder/pull/10857" TargetMode="External"/><Relationship Id="rId567" Type="http://schemas.openxmlformats.org/officeDocument/2006/relationships/hyperlink" Target="https://github.com/WPMedia/arc-themes-blocks/pull/1014" TargetMode="External"/><Relationship Id="rId122" Type="http://schemas.openxmlformats.org/officeDocument/2006/relationships/hyperlink" Target="https://github.com/epicmaxco/vuestic-ui/pull/3729" TargetMode="External"/><Relationship Id="rId774" Type="http://schemas.openxmlformats.org/officeDocument/2006/relationships/hyperlink" Target="https://github.com/WPMedia/arc-themes-blocks/pull/1386" TargetMode="External"/><Relationship Id="rId981" Type="http://schemas.openxmlformats.org/officeDocument/2006/relationships/hyperlink" Target="https://github.com/Khan/wonder-blocks/pull/2602" TargetMode="External"/><Relationship Id="rId427" Type="http://schemas.openxmlformats.org/officeDocument/2006/relationships/hyperlink" Target="https://github.com/storybookjs/storybook/pull/28739" TargetMode="External"/><Relationship Id="rId634" Type="http://schemas.openxmlformats.org/officeDocument/2006/relationships/hyperlink" Target="https://github.com/adobe/react-spectrum/pull/2057" TargetMode="External"/><Relationship Id="rId841" Type="http://schemas.openxmlformats.org/officeDocument/2006/relationships/hyperlink" Target="https://github.com/chanzuckerberg/edu-design-system/pull/1083" TargetMode="External"/><Relationship Id="rId273" Type="http://schemas.openxmlformats.org/officeDocument/2006/relationships/hyperlink" Target="https://github.com/Crystal-Creations-GbR/crystal-components/pull/70" TargetMode="External"/><Relationship Id="rId480" Type="http://schemas.openxmlformats.org/officeDocument/2006/relationships/hyperlink" Target="https://github.com/Sage/carbon/pull/3498" TargetMode="External"/><Relationship Id="rId701" Type="http://schemas.openxmlformats.org/officeDocument/2006/relationships/hyperlink" Target="https://github.com/guardian/gateway/pull/1575" TargetMode="External"/><Relationship Id="rId939" Type="http://schemas.openxmlformats.org/officeDocument/2006/relationships/hyperlink" Target="https://github.com/openops-cloud/openops/pull/286" TargetMode="External"/><Relationship Id="rId68" Type="http://schemas.openxmlformats.org/officeDocument/2006/relationships/hyperlink" Target="https://github.com/storybookjs/storybook/pull/22336" TargetMode="External"/><Relationship Id="rId133" Type="http://schemas.openxmlformats.org/officeDocument/2006/relationships/hyperlink" Target="https://github.com/sbb-design-systems/lyne-components/pull/1691" TargetMode="External"/><Relationship Id="rId340" Type="http://schemas.openxmlformats.org/officeDocument/2006/relationships/hyperlink" Target="https://github.com/ethereum/ethereum-org-website/pull/12594" TargetMode="External"/><Relationship Id="rId578" Type="http://schemas.openxmlformats.org/officeDocument/2006/relationships/hyperlink" Target="https://github.com/WPMedia/arc-themes-blocks/pull/1044" TargetMode="External"/><Relationship Id="rId785" Type="http://schemas.openxmlformats.org/officeDocument/2006/relationships/hyperlink" Target="https://github.com/homebound-team/beam/pull/550" TargetMode="External"/><Relationship Id="rId992" Type="http://schemas.openxmlformats.org/officeDocument/2006/relationships/hyperlink" Target="https://github.com/ni/nimble/pull/2341" TargetMode="External"/><Relationship Id="rId200" Type="http://schemas.openxmlformats.org/officeDocument/2006/relationships/hyperlink" Target="https://github.com/AmazeeLabs/silverback-template/pull/132" TargetMode="External"/><Relationship Id="rId438" Type="http://schemas.openxmlformats.org/officeDocument/2006/relationships/hyperlink" Target="https://github.com/Esri/calcite-design-system/pull/10820" TargetMode="External"/><Relationship Id="rId645" Type="http://schemas.openxmlformats.org/officeDocument/2006/relationships/hyperlink" Target="https://github.com/guardian/dotcom-rendering/pull/3645" TargetMode="External"/><Relationship Id="rId852" Type="http://schemas.openxmlformats.org/officeDocument/2006/relationships/hyperlink" Target="https://github.com/GCTC-NTGC/gc-digital-talent/pull/3865" TargetMode="External"/><Relationship Id="rId284" Type="http://schemas.openxmlformats.org/officeDocument/2006/relationships/hyperlink" Target="https://github.com/wellcomecollection/wellcomecollection.org/pull/10792" TargetMode="External"/><Relationship Id="rId491" Type="http://schemas.openxmlformats.org/officeDocument/2006/relationships/hyperlink" Target="https://github.com/contentful/forma-36/pull/757" TargetMode="External"/><Relationship Id="rId505" Type="http://schemas.openxmlformats.org/officeDocument/2006/relationships/hyperlink" Target="https://github.com/adobe/react-spectrum/pull/7284" TargetMode="External"/><Relationship Id="rId712" Type="http://schemas.openxmlformats.org/officeDocument/2006/relationships/hyperlink" Target="https://github.com/storybookjs/storybook/pull/16178" TargetMode="External"/><Relationship Id="rId79" Type="http://schemas.openxmlformats.org/officeDocument/2006/relationships/hyperlink" Target="https://github.com/coder/coder/pull/16020" TargetMode="External"/><Relationship Id="rId144" Type="http://schemas.openxmlformats.org/officeDocument/2006/relationships/hyperlink" Target="https://github.com/chromaui/addon-visual-tests/pull/69" TargetMode="External"/><Relationship Id="rId589" Type="http://schemas.openxmlformats.org/officeDocument/2006/relationships/hyperlink" Target="https://github.com/cultureamp/kaizen-design-system/pull/1053" TargetMode="External"/><Relationship Id="rId796" Type="http://schemas.openxmlformats.org/officeDocument/2006/relationships/hyperlink" Target="https://github.com/ntls-io/nautilus-wallet/pull/160" TargetMode="External"/><Relationship Id="rId351" Type="http://schemas.openxmlformats.org/officeDocument/2006/relationships/hyperlink" Target="https://github.com/recharts/recharts/pull/4795" TargetMode="External"/><Relationship Id="rId449" Type="http://schemas.openxmlformats.org/officeDocument/2006/relationships/hyperlink" Target="https://github.com/fortanix/baklava/pull/54" TargetMode="External"/><Relationship Id="rId656" Type="http://schemas.openxmlformats.org/officeDocument/2006/relationships/hyperlink" Target="https://github.com/titicacadev/triple-frontend/pull/1762" TargetMode="External"/><Relationship Id="rId863" Type="http://schemas.openxmlformats.org/officeDocument/2006/relationships/hyperlink" Target="https://github.com/chanzuckerberg/edu-design-system/pull/1322" TargetMode="External"/><Relationship Id="rId211" Type="http://schemas.openxmlformats.org/officeDocument/2006/relationships/hyperlink" Target="https://github.com/guardian/dotcom-rendering/pull/8478" TargetMode="External"/><Relationship Id="rId295" Type="http://schemas.openxmlformats.org/officeDocument/2006/relationships/hyperlink" Target="https://github.com/adobe/react-spectrum/pull/5705" TargetMode="External"/><Relationship Id="rId309" Type="http://schemas.openxmlformats.org/officeDocument/2006/relationships/hyperlink" Target="https://github.com/cloudblue/connect-ui-toolkit/pull/92" TargetMode="External"/><Relationship Id="rId516" Type="http://schemas.openxmlformats.org/officeDocument/2006/relationships/hyperlink" Target="https://github.com/storybookjs/storybook/pull/14251" TargetMode="External"/><Relationship Id="rId723" Type="http://schemas.openxmlformats.org/officeDocument/2006/relationships/hyperlink" Target="https://github.com/coder/coder/pull/981" TargetMode="External"/><Relationship Id="rId930" Type="http://schemas.openxmlformats.org/officeDocument/2006/relationships/hyperlink" Target="https://github.com/department-of-veterans-affairs/component-library/pull/1487" TargetMode="External"/><Relationship Id="rId1006" Type="http://schemas.openxmlformats.org/officeDocument/2006/relationships/hyperlink" Target="https://github.com/DouyinFE/semi-design/pull/1317" TargetMode="External"/><Relationship Id="rId155" Type="http://schemas.openxmlformats.org/officeDocument/2006/relationships/hyperlink" Target="https://github.com/Esri/calcite-design-system/pull/8055" TargetMode="External"/><Relationship Id="rId362" Type="http://schemas.openxmlformats.org/officeDocument/2006/relationships/hyperlink" Target="https://github.com/sillsdev/web-xforge/pull/2557" TargetMode="External"/><Relationship Id="rId222" Type="http://schemas.openxmlformats.org/officeDocument/2006/relationships/hyperlink" Target="https://github.com/Esri/calcite-design-system/pull/8561" TargetMode="External"/><Relationship Id="rId667" Type="http://schemas.openxmlformats.org/officeDocument/2006/relationships/hyperlink" Target="https://github.com/WPMedia/arc-themes-blocks/pull/1044" TargetMode="External"/><Relationship Id="rId874" Type="http://schemas.openxmlformats.org/officeDocument/2006/relationships/hyperlink" Target="https://github.com/homebound-team/beam/pull/550" TargetMode="External"/><Relationship Id="rId17" Type="http://schemas.openxmlformats.org/officeDocument/2006/relationships/hyperlink" Target="https://github.com/storybookjs/storybook/pull/20995" TargetMode="External"/><Relationship Id="rId527" Type="http://schemas.openxmlformats.org/officeDocument/2006/relationships/hyperlink" Target="https://github.com/storybookjs/storybook/pull/15059" TargetMode="External"/><Relationship Id="rId734" Type="http://schemas.openxmlformats.org/officeDocument/2006/relationships/hyperlink" Target="https://github.com/WPMedia/arc-themes-blocks/pull/1332" TargetMode="External"/><Relationship Id="rId941" Type="http://schemas.openxmlformats.org/officeDocument/2006/relationships/hyperlink" Target="https://github.com/nickooms/learnstorybook-design-system/pull/1" TargetMode="External"/><Relationship Id="rId70" Type="http://schemas.openxmlformats.org/officeDocument/2006/relationships/hyperlink" Target="https://github.com/4A2RfF5Q5x/learnstorybook-design-system/pull/2" TargetMode="External"/><Relationship Id="rId166" Type="http://schemas.openxmlformats.org/officeDocument/2006/relationships/hyperlink" Target="https://github.com/input-output-hk/lace/pull/128" TargetMode="External"/><Relationship Id="rId373" Type="http://schemas.openxmlformats.org/officeDocument/2006/relationships/hyperlink" Target="https://github.com/coder/coder/pull/13031" TargetMode="External"/><Relationship Id="rId580" Type="http://schemas.openxmlformats.org/officeDocument/2006/relationships/hyperlink" Target="https://github.com/contentful/forma-36/pull/757" TargetMode="External"/><Relationship Id="rId801" Type="http://schemas.openxmlformats.org/officeDocument/2006/relationships/hyperlink" Target="https://github.com/WPMedia/arc-themes-components/pull/116" TargetMode="External"/><Relationship Id="rId1017" Type="http://schemas.openxmlformats.org/officeDocument/2006/relationships/hyperlink" Target="https://github.com/opengovsg/isomer/pull/1585" TargetMode="External"/><Relationship Id="rId1" Type="http://schemas.openxmlformats.org/officeDocument/2006/relationships/hyperlink" Target="https://github.com/mswjs/msw-storybook-addon/pull/22" TargetMode="External"/><Relationship Id="rId233" Type="http://schemas.openxmlformats.org/officeDocument/2006/relationships/hyperlink" Target="https://github.com/storybookjs/storybook/pull/25460" TargetMode="External"/><Relationship Id="rId440" Type="http://schemas.openxmlformats.org/officeDocument/2006/relationships/hyperlink" Target="https://github.com/opendatasoft/ods-dataviz-sdk/pull/266" TargetMode="External"/><Relationship Id="rId678" Type="http://schemas.openxmlformats.org/officeDocument/2006/relationships/hyperlink" Target="https://github.com/guardian/dotcom-rendering/pull/3724" TargetMode="External"/><Relationship Id="rId885" Type="http://schemas.openxmlformats.org/officeDocument/2006/relationships/hyperlink" Target="https://github.com/Trendyol/baklava/pull/327" TargetMode="External"/><Relationship Id="rId28" Type="http://schemas.openxmlformats.org/officeDocument/2006/relationships/hyperlink" Target="https://github.com/Workday/canvas-kit/pull/1426" TargetMode="External"/><Relationship Id="rId300" Type="http://schemas.openxmlformats.org/officeDocument/2006/relationships/hyperlink" Target="https://github.com/appsmithorg/appsmith/pull/32857" TargetMode="External"/><Relationship Id="rId538" Type="http://schemas.openxmlformats.org/officeDocument/2006/relationships/hyperlink" Target="https://github.com/fortanix/baklava/pull/54" TargetMode="External"/><Relationship Id="rId745" Type="http://schemas.openxmlformats.org/officeDocument/2006/relationships/hyperlink" Target="https://github.com/titicacadev/triple-frontend/pull/1762" TargetMode="External"/><Relationship Id="rId952" Type="http://schemas.openxmlformats.org/officeDocument/2006/relationships/hyperlink" Target="https://github.com/storybookjs/storybook/pull/19181" TargetMode="External"/><Relationship Id="rId81" Type="http://schemas.openxmlformats.org/officeDocument/2006/relationships/hyperlink" Target="https://github.com/NeurodataWithoutBorders/nwb-guide/pull/219" TargetMode="External"/><Relationship Id="rId177" Type="http://schemas.openxmlformats.org/officeDocument/2006/relationships/hyperlink" Target="https://github.com/kufu/smarthr-ui/pull/3975" TargetMode="External"/><Relationship Id="rId384" Type="http://schemas.openxmlformats.org/officeDocument/2006/relationships/hyperlink" Target="https://github.com/evidence-dev/evidence/pull/2436" TargetMode="External"/><Relationship Id="rId591" Type="http://schemas.openxmlformats.org/officeDocument/2006/relationships/hyperlink" Target="https://github.com/WPMedia/arc-themes-blocks/pull/1019" TargetMode="External"/><Relationship Id="rId605" Type="http://schemas.openxmlformats.org/officeDocument/2006/relationships/hyperlink" Target="https://github.com/guardian/gateway/pull/791" TargetMode="External"/><Relationship Id="rId812" Type="http://schemas.openxmlformats.org/officeDocument/2006/relationships/hyperlink" Target="https://github.com/cerebrl/forgerock-web-login-framework/pull/6" TargetMode="External"/><Relationship Id="rId244" Type="http://schemas.openxmlformats.org/officeDocument/2006/relationships/hyperlink" Target="https://github.com/Esri/calcite-design-system/pull/8066" TargetMode="External"/><Relationship Id="rId689" Type="http://schemas.openxmlformats.org/officeDocument/2006/relationships/hyperlink" Target="https://github.com/guardian/dotcom-rendering/pull/3823" TargetMode="External"/><Relationship Id="rId896" Type="http://schemas.openxmlformats.org/officeDocument/2006/relationships/hyperlink" Target="https://github.com/ni/nimble/pull/834" TargetMode="External"/><Relationship Id="rId39" Type="http://schemas.openxmlformats.org/officeDocument/2006/relationships/hyperlink" Target="https://github.com/NeurodataWithoutBorders/nwb-guide/pull/74" TargetMode="External"/><Relationship Id="rId451" Type="http://schemas.openxmlformats.org/officeDocument/2006/relationships/hyperlink" Target="https://github.com/adobe/react-spectrum/pull/6965" TargetMode="External"/><Relationship Id="rId549" Type="http://schemas.openxmlformats.org/officeDocument/2006/relationships/hyperlink" Target="https://github.com/getappmap/appmap-js/pull/255" TargetMode="External"/><Relationship Id="rId756" Type="http://schemas.openxmlformats.org/officeDocument/2006/relationships/hyperlink" Target="https://github.com/GCTC-NTGC/gc-digital-talent/pull/2728" TargetMode="External"/><Relationship Id="rId104" Type="http://schemas.openxmlformats.org/officeDocument/2006/relationships/hyperlink" Target="https://github.com/contentful/forma-36/pull/2520" TargetMode="External"/><Relationship Id="rId188" Type="http://schemas.openxmlformats.org/officeDocument/2006/relationships/hyperlink" Target="https://github.com/daydule/frontend/pull/71" TargetMode="External"/><Relationship Id="rId311" Type="http://schemas.openxmlformats.org/officeDocument/2006/relationships/hyperlink" Target="https://github.com/cloudblue/connect-ui-toolkit/pull/92" TargetMode="External"/><Relationship Id="rId395" Type="http://schemas.openxmlformats.org/officeDocument/2006/relationships/hyperlink" Target="https://github.com/chromaui/chromatic-e2e/pull/207" TargetMode="External"/><Relationship Id="rId409" Type="http://schemas.openxmlformats.org/officeDocument/2006/relationships/hyperlink" Target="https://github.com/ni/nimble/pull/2167" TargetMode="External"/><Relationship Id="rId963" Type="http://schemas.openxmlformats.org/officeDocument/2006/relationships/hyperlink" Target="https://github.com/Khan/wonder-blocks/pull/2563" TargetMode="External"/><Relationship Id="rId92" Type="http://schemas.openxmlformats.org/officeDocument/2006/relationships/hyperlink" Target="https://github.com/contentful/forma-36/pull/2498" TargetMode="External"/><Relationship Id="rId616" Type="http://schemas.openxmlformats.org/officeDocument/2006/relationships/hyperlink" Target="https://github.com/storybookjs/storybook/pull/15059" TargetMode="External"/><Relationship Id="rId823" Type="http://schemas.openxmlformats.org/officeDocument/2006/relationships/hyperlink" Target="https://github.com/WPMedia/arc-themes-blocks/pull/1332" TargetMode="External"/><Relationship Id="rId255" Type="http://schemas.openxmlformats.org/officeDocument/2006/relationships/hyperlink" Target="https://github.com/storybookjs/storybook/pull/26254" TargetMode="External"/><Relationship Id="rId462" Type="http://schemas.openxmlformats.org/officeDocument/2006/relationships/hyperlink" Target="https://github.com/coder/coder/pull/16134" TargetMode="External"/><Relationship Id="rId115" Type="http://schemas.openxmlformats.org/officeDocument/2006/relationships/hyperlink" Target="https://github.com/NeurodataWithoutBorders/nwb-guide/pull/74" TargetMode="External"/><Relationship Id="rId322" Type="http://schemas.openxmlformats.org/officeDocument/2006/relationships/hyperlink" Target="https://github.com/adobe/react-spectrum/pull/5941" TargetMode="External"/><Relationship Id="rId767" Type="http://schemas.openxmlformats.org/officeDocument/2006/relationships/hyperlink" Target="https://github.com/WPMedia/arc-themes-blocks/pull/1373" TargetMode="External"/><Relationship Id="rId974" Type="http://schemas.openxmlformats.org/officeDocument/2006/relationships/hyperlink" Target="https://github.com/e-gov/cvi/pull/113" TargetMode="External"/><Relationship Id="rId199" Type="http://schemas.openxmlformats.org/officeDocument/2006/relationships/hyperlink" Target="https://github.com/Esri/calcite-design-system/pull/7568" TargetMode="External"/><Relationship Id="rId627" Type="http://schemas.openxmlformats.org/officeDocument/2006/relationships/hyperlink" Target="https://github.com/BBC-archive/psammead/pull/4548" TargetMode="External"/><Relationship Id="rId834" Type="http://schemas.openxmlformats.org/officeDocument/2006/relationships/hyperlink" Target="https://github.com/storybookjs/storybook/pull/19029" TargetMode="External"/><Relationship Id="rId266" Type="http://schemas.openxmlformats.org/officeDocument/2006/relationships/hyperlink" Target="https://github.com/danskernesdigitalebibliotek/dpl-design-system/pull/542" TargetMode="External"/><Relationship Id="rId473" Type="http://schemas.openxmlformats.org/officeDocument/2006/relationships/hyperlink" Target="https://github.com/serendie/serendie/pull/28" TargetMode="External"/><Relationship Id="rId680" Type="http://schemas.openxmlformats.org/officeDocument/2006/relationships/hyperlink" Target="https://github.com/Workday/canvas-kit/pull/1441" TargetMode="External"/><Relationship Id="rId901" Type="http://schemas.openxmlformats.org/officeDocument/2006/relationships/hyperlink" Target="https://github.com/cerebrl/forgerock-web-login-framework/pull/6" TargetMode="External"/><Relationship Id="rId30" Type="http://schemas.openxmlformats.org/officeDocument/2006/relationships/hyperlink" Target="https://github.com/ithaka/pharos/pull/503" TargetMode="External"/><Relationship Id="rId126" Type="http://schemas.openxmlformats.org/officeDocument/2006/relationships/hyperlink" Target="https://github.com/NeurodataWithoutBorders/nwb-guide/pull/305" TargetMode="External"/><Relationship Id="rId333" Type="http://schemas.openxmlformats.org/officeDocument/2006/relationships/hyperlink" Target="https://github.com/ni/nimble/pull/2167" TargetMode="External"/><Relationship Id="rId540" Type="http://schemas.openxmlformats.org/officeDocument/2006/relationships/hyperlink" Target="https://github.com/grommet/grommet/pull/5213" TargetMode="External"/><Relationship Id="rId778" Type="http://schemas.openxmlformats.org/officeDocument/2006/relationships/hyperlink" Target="https://github.com/guardian/dotcom-rendering/pull/3823" TargetMode="External"/><Relationship Id="rId985" Type="http://schemas.openxmlformats.org/officeDocument/2006/relationships/hyperlink" Target="https://github.com/WPMedia/arc-themes-blocks/pull/1556" TargetMode="External"/><Relationship Id="rId638" Type="http://schemas.openxmlformats.org/officeDocument/2006/relationships/hyperlink" Target="https://github.com/ntls-io/nautilus-wallet/pull/136" TargetMode="External"/><Relationship Id="rId845" Type="http://schemas.openxmlformats.org/officeDocument/2006/relationships/hyperlink" Target="https://github.com/storybookjs/storybook/pull/19189" TargetMode="External"/><Relationship Id="rId277" Type="http://schemas.openxmlformats.org/officeDocument/2006/relationships/hyperlink" Target="https://github.com/adobe/spectrum-css/pull/2424" TargetMode="External"/><Relationship Id="rId400" Type="http://schemas.openxmlformats.org/officeDocument/2006/relationships/hyperlink" Target="https://github.com/recharts/recharts/pull/4542" TargetMode="External"/><Relationship Id="rId484" Type="http://schemas.openxmlformats.org/officeDocument/2006/relationships/hyperlink" Target="https://github.com/Esri/calcite-design-system/pull/10343" TargetMode="External"/><Relationship Id="rId705" Type="http://schemas.openxmlformats.org/officeDocument/2006/relationships/hyperlink" Target="https://github.com/ni/nimble/pull/406" TargetMode="External"/><Relationship Id="rId137" Type="http://schemas.openxmlformats.org/officeDocument/2006/relationships/hyperlink" Target="https://github.com/adobe/react-spectrum/pull/4972" TargetMode="External"/><Relationship Id="rId344" Type="http://schemas.openxmlformats.org/officeDocument/2006/relationships/hyperlink" Target="https://github.com/storybookjs/storybook/pull/28739" TargetMode="External"/><Relationship Id="rId691" Type="http://schemas.openxmlformats.org/officeDocument/2006/relationships/hyperlink" Target="https://github.com/guardian/gateway/pull/791" TargetMode="External"/><Relationship Id="rId789" Type="http://schemas.openxmlformats.org/officeDocument/2006/relationships/hyperlink" Target="https://github.com/WPMedia/arc-themes-blocks/pull/1411" TargetMode="External"/><Relationship Id="rId912" Type="http://schemas.openxmlformats.org/officeDocument/2006/relationships/hyperlink" Target="https://github.com/DouyinFE/semi-design/pull/1317" TargetMode="External"/><Relationship Id="rId996" Type="http://schemas.openxmlformats.org/officeDocument/2006/relationships/hyperlink" Target="https://github.com/coder/coder/pull/18445" TargetMode="External"/><Relationship Id="rId41" Type="http://schemas.openxmlformats.org/officeDocument/2006/relationships/hyperlink" Target="https://github.com/seek-oss/braid-design-system/pull/1240" TargetMode="External"/><Relationship Id="rId551" Type="http://schemas.openxmlformats.org/officeDocument/2006/relationships/hyperlink" Target="https://github.com/microsoft/iot-cardboard-js/pull/78" TargetMode="External"/><Relationship Id="rId649" Type="http://schemas.openxmlformats.org/officeDocument/2006/relationships/hyperlink" Target="https://github.com/ntls-io/nautilus-wallet/pull/23" TargetMode="External"/><Relationship Id="rId856" Type="http://schemas.openxmlformats.org/officeDocument/2006/relationships/hyperlink" Target="https://github.com/WPMedia/arc-themes-blocks/pull/1373" TargetMode="External"/><Relationship Id="rId190" Type="http://schemas.openxmlformats.org/officeDocument/2006/relationships/hyperlink" Target="https://github.com/isomerpages/isomercms-frontend/pull/1435" TargetMode="External"/><Relationship Id="rId204" Type="http://schemas.openxmlformats.org/officeDocument/2006/relationships/hyperlink" Target="https://github.com/AmazeeLabs/silverback-template/pull/132" TargetMode="External"/><Relationship Id="rId288" Type="http://schemas.openxmlformats.org/officeDocument/2006/relationships/hyperlink" Target="https://github.com/ethereum/ethereum-org-website/pull/12639" TargetMode="External"/><Relationship Id="rId411" Type="http://schemas.openxmlformats.org/officeDocument/2006/relationships/hyperlink" Target="https://github.com/gradio-app/gradio/pull/9260" TargetMode="External"/><Relationship Id="rId509" Type="http://schemas.openxmlformats.org/officeDocument/2006/relationships/hyperlink" Target="https://github.com/cultureamp/kaizen-design-system/pull/1218" TargetMode="External"/><Relationship Id="rId495" Type="http://schemas.openxmlformats.org/officeDocument/2006/relationships/hyperlink" Target="https://github.com/contentful/forma-36/pull/757" TargetMode="External"/><Relationship Id="rId716" Type="http://schemas.openxmlformats.org/officeDocument/2006/relationships/hyperlink" Target="https://github.com/curology/radiance-ui/pull/1470" TargetMode="External"/><Relationship Id="rId923" Type="http://schemas.openxmlformats.org/officeDocument/2006/relationships/hyperlink" Target="https://github.com/chanzuckerberg/edu-design-system/pull/1440" TargetMode="External"/><Relationship Id="rId52" Type="http://schemas.openxmlformats.org/officeDocument/2006/relationships/hyperlink" Target="https://github.com/ithaka/pharos/pull/570" TargetMode="External"/><Relationship Id="rId148" Type="http://schemas.openxmlformats.org/officeDocument/2006/relationships/hyperlink" Target="https://github.com/storybookjs/storybook/pull/22336" TargetMode="External"/><Relationship Id="rId355" Type="http://schemas.openxmlformats.org/officeDocument/2006/relationships/hyperlink" Target="https://github.com/chromaui/chromatic-docs/pull/400" TargetMode="External"/><Relationship Id="rId562" Type="http://schemas.openxmlformats.org/officeDocument/2006/relationships/hyperlink" Target="https://github.com/serendie/serendie/pull/28" TargetMode="External"/><Relationship Id="rId215" Type="http://schemas.openxmlformats.org/officeDocument/2006/relationships/hyperlink" Target="https://github.com/adobe/react-spectrum/pull/5705" TargetMode="External"/><Relationship Id="rId257" Type="http://schemas.openxmlformats.org/officeDocument/2006/relationships/hyperlink" Target="https://github.com/department-of-veterans-affairs/component-library/pull/1096" TargetMode="External"/><Relationship Id="rId422" Type="http://schemas.openxmlformats.org/officeDocument/2006/relationships/hyperlink" Target="https://github.com/adobe/react-spectrum/pull/7284" TargetMode="External"/><Relationship Id="rId464" Type="http://schemas.openxmlformats.org/officeDocument/2006/relationships/hyperlink" Target="https://github.com/kufu/smarthr-ui/pull/5307" TargetMode="External"/><Relationship Id="rId867" Type="http://schemas.openxmlformats.org/officeDocument/2006/relationships/hyperlink" Target="https://github.com/chanzuckerberg/edu-design-system/pull/1346" TargetMode="External"/><Relationship Id="rId1010" Type="http://schemas.openxmlformats.org/officeDocument/2006/relationships/hyperlink" Target="https://github.com/ni/nimble/pull/927" TargetMode="External"/><Relationship Id="rId299" Type="http://schemas.openxmlformats.org/officeDocument/2006/relationships/hyperlink" Target="https://github.com/appsmithorg/appsmith/pull/32857" TargetMode="External"/><Relationship Id="rId727" Type="http://schemas.openxmlformats.org/officeDocument/2006/relationships/hyperlink" Target="https://github.com/ntls-io/nautilus-wallet/pull/136" TargetMode="External"/><Relationship Id="rId934" Type="http://schemas.openxmlformats.org/officeDocument/2006/relationships/hyperlink" Target="https://github.com/chanzuckerberg/sci-components/pull/236" TargetMode="External"/><Relationship Id="rId63" Type="http://schemas.openxmlformats.org/officeDocument/2006/relationships/hyperlink" Target="https://github.com/coder/coder/pull/7210" TargetMode="External"/><Relationship Id="rId159" Type="http://schemas.openxmlformats.org/officeDocument/2006/relationships/hyperlink" Target="https://github.com/recharts/recharts/pull/3908" TargetMode="External"/><Relationship Id="rId366" Type="http://schemas.openxmlformats.org/officeDocument/2006/relationships/hyperlink" Target="https://github.com/Esri/calcite-design-system/pull/9969" TargetMode="External"/><Relationship Id="rId573" Type="http://schemas.openxmlformats.org/officeDocument/2006/relationships/hyperlink" Target="https://github.com/contentful/forma-36/pull/1093" TargetMode="External"/><Relationship Id="rId780" Type="http://schemas.openxmlformats.org/officeDocument/2006/relationships/hyperlink" Target="https://github.com/coder/coder/pull/2103" TargetMode="External"/><Relationship Id="rId226" Type="http://schemas.openxmlformats.org/officeDocument/2006/relationships/hyperlink" Target="https://github.com/storybookjs/storybook/pull/24146" TargetMode="External"/><Relationship Id="rId433" Type="http://schemas.openxmlformats.org/officeDocument/2006/relationships/hyperlink" Target="https://github.com/recharts/recharts/pull/4795" TargetMode="External"/><Relationship Id="rId878" Type="http://schemas.openxmlformats.org/officeDocument/2006/relationships/hyperlink" Target="https://github.com/guardian/dotcom-rendering/pull/6258" TargetMode="External"/><Relationship Id="rId640" Type="http://schemas.openxmlformats.org/officeDocument/2006/relationships/hyperlink" Target="https://github.com/microsoft/iot-cardboard-js/pull/78" TargetMode="External"/><Relationship Id="rId738" Type="http://schemas.openxmlformats.org/officeDocument/2006/relationships/hyperlink" Target="https://github.com/WPMedia/arc-themes-blocks/pull/1335" TargetMode="External"/><Relationship Id="rId945" Type="http://schemas.openxmlformats.org/officeDocument/2006/relationships/hyperlink" Target="https://github.com/Khan/wonder-blocks/pull/2508" TargetMode="External"/><Relationship Id="rId74" Type="http://schemas.openxmlformats.org/officeDocument/2006/relationships/hyperlink" Target="https://github.com/ForgeRock/forgerock-web-login-framework/pull/121" TargetMode="External"/><Relationship Id="rId377" Type="http://schemas.openxmlformats.org/officeDocument/2006/relationships/hyperlink" Target="https://github.com/kufu/smarthr-ui/pull/4821" TargetMode="External"/><Relationship Id="rId500" Type="http://schemas.openxmlformats.org/officeDocument/2006/relationships/hyperlink" Target="https://github.com/cultureamp/kaizen-design-system/pull/1053" TargetMode="External"/><Relationship Id="rId584" Type="http://schemas.openxmlformats.org/officeDocument/2006/relationships/hyperlink" Target="https://github.com/sberdevices/plasma/pull/676" TargetMode="External"/><Relationship Id="rId805" Type="http://schemas.openxmlformats.org/officeDocument/2006/relationships/hyperlink" Target="https://github.com/curology/radiance-ui/pull/1470" TargetMode="External"/><Relationship Id="rId5" Type="http://schemas.openxmlformats.org/officeDocument/2006/relationships/hyperlink" Target="https://github.com/storybookjs/storybook/pull/20712" TargetMode="External"/><Relationship Id="rId237" Type="http://schemas.openxmlformats.org/officeDocument/2006/relationships/hyperlink" Target="https://github.com/ni/nimble/pull/1791" TargetMode="External"/><Relationship Id="rId791" Type="http://schemas.openxmlformats.org/officeDocument/2006/relationships/hyperlink" Target="https://github.com/WPMedia/arc-themes-blocks/pull/1411" TargetMode="External"/><Relationship Id="rId889" Type="http://schemas.openxmlformats.org/officeDocument/2006/relationships/hyperlink" Target="https://github.com/WPMedia/arc-themes-components/pull/116" TargetMode="External"/><Relationship Id="rId444" Type="http://schemas.openxmlformats.org/officeDocument/2006/relationships/hyperlink" Target="https://github.com/kufu/smarthr-ui/pull/5091" TargetMode="External"/><Relationship Id="rId651" Type="http://schemas.openxmlformats.org/officeDocument/2006/relationships/hyperlink" Target="https://github.com/dpc-sdp/ripple/pull/1111" TargetMode="External"/><Relationship Id="rId749" Type="http://schemas.openxmlformats.org/officeDocument/2006/relationships/hyperlink" Target="https://github.com/WPMedia/arc-themes-blocks/pull/1365" TargetMode="External"/><Relationship Id="rId290" Type="http://schemas.openxmlformats.org/officeDocument/2006/relationships/hyperlink" Target="https://github.com/ethereum/ethereum-org-website/pull/12639" TargetMode="External"/><Relationship Id="rId304" Type="http://schemas.openxmlformats.org/officeDocument/2006/relationships/hyperlink" Target="https://github.com/Esri/calcite-design-system/pull/8561" TargetMode="External"/><Relationship Id="rId388" Type="http://schemas.openxmlformats.org/officeDocument/2006/relationships/hyperlink" Target="https://github.com/cloudblue/connect-ui-toolkit/pull/92" TargetMode="External"/><Relationship Id="rId511" Type="http://schemas.openxmlformats.org/officeDocument/2006/relationships/hyperlink" Target="https://github.com/Esri/calcite-design-system/pull/10621" TargetMode="External"/><Relationship Id="rId609" Type="http://schemas.openxmlformats.org/officeDocument/2006/relationships/hyperlink" Target="https://github.com/PostHog/posthog/pull/5736" TargetMode="External"/><Relationship Id="rId956" Type="http://schemas.openxmlformats.org/officeDocument/2006/relationships/hyperlink" Target="https://github.com/storybookjs/storybook/pull/17756" TargetMode="External"/><Relationship Id="rId85" Type="http://schemas.openxmlformats.org/officeDocument/2006/relationships/hyperlink" Target="https://github.com/storybookjs/storybook/pull/20712" TargetMode="External"/><Relationship Id="rId150" Type="http://schemas.openxmlformats.org/officeDocument/2006/relationships/hyperlink" Target="https://github.com/bitwarden/clients/pull/6225" TargetMode="External"/><Relationship Id="rId595" Type="http://schemas.openxmlformats.org/officeDocument/2006/relationships/hyperlink" Target="https://github.com/CruGlobal/mpdx-react/pull/25" TargetMode="External"/><Relationship Id="rId816" Type="http://schemas.openxmlformats.org/officeDocument/2006/relationships/hyperlink" Target="https://github.com/guardian/dotcom-rendering/pull/5529" TargetMode="External"/><Relationship Id="rId1001" Type="http://schemas.openxmlformats.org/officeDocument/2006/relationships/hyperlink" Target="https://github.com/Esri/calcite-design-system/pull/10724" TargetMode="External"/><Relationship Id="rId248" Type="http://schemas.openxmlformats.org/officeDocument/2006/relationships/hyperlink" Target="https://github.com/Esri/calcite-design-system/pull/8786" TargetMode="External"/><Relationship Id="rId455" Type="http://schemas.openxmlformats.org/officeDocument/2006/relationships/hyperlink" Target="https://github.com/ithaka/pharos/pull/862" TargetMode="External"/><Relationship Id="rId662" Type="http://schemas.openxmlformats.org/officeDocument/2006/relationships/hyperlink" Target="https://github.com/titicacadev/triple-frontend/pull/1754" TargetMode="External"/><Relationship Id="rId12" Type="http://schemas.openxmlformats.org/officeDocument/2006/relationships/hyperlink" Target="https://github.com/guardian/dotcom-rendering/pull/6954" TargetMode="External"/><Relationship Id="rId108" Type="http://schemas.openxmlformats.org/officeDocument/2006/relationships/hyperlink" Target="https://github.com/isomerpages/isomercms-frontend/pull/1398" TargetMode="External"/><Relationship Id="rId315" Type="http://schemas.openxmlformats.org/officeDocument/2006/relationships/hyperlink" Target="https://github.com/danskernesdigitalebibliotek/dpl-design-system/pull/650" TargetMode="External"/><Relationship Id="rId522" Type="http://schemas.openxmlformats.org/officeDocument/2006/relationships/hyperlink" Target="https://github.com/homebound-team/beam/pull/61" TargetMode="External"/><Relationship Id="rId967" Type="http://schemas.openxmlformats.org/officeDocument/2006/relationships/hyperlink" Target="https://github.com/cultureamp/kaizen-design-system/pull/3051" TargetMode="External"/><Relationship Id="rId96" Type="http://schemas.openxmlformats.org/officeDocument/2006/relationships/hyperlink" Target="https://github.com/ni/nimble/pull/1335" TargetMode="External"/><Relationship Id="rId161" Type="http://schemas.openxmlformats.org/officeDocument/2006/relationships/hyperlink" Target="https://github.com/recharts/recharts/pull/3908" TargetMode="External"/><Relationship Id="rId399" Type="http://schemas.openxmlformats.org/officeDocument/2006/relationships/hyperlink" Target="https://github.com/chromaui/chromatic-e2e/pull/207" TargetMode="External"/><Relationship Id="rId827" Type="http://schemas.openxmlformats.org/officeDocument/2006/relationships/hyperlink" Target="https://github.com/WPMedia/arc-themes-blocks/pull/1462" TargetMode="External"/><Relationship Id="rId1012" Type="http://schemas.openxmlformats.org/officeDocument/2006/relationships/hyperlink" Target="https://github.com/chanzuckerberg/edu-design-system/pull/1440" TargetMode="External"/><Relationship Id="rId259" Type="http://schemas.openxmlformats.org/officeDocument/2006/relationships/hyperlink" Target="https://github.com/guardian/support-frontend/pull/5429" TargetMode="External"/><Relationship Id="rId466" Type="http://schemas.openxmlformats.org/officeDocument/2006/relationships/hyperlink" Target="https://github.com/evidence-dev/evidence/pull/2436" TargetMode="External"/><Relationship Id="rId673" Type="http://schemas.openxmlformats.org/officeDocument/2006/relationships/hyperlink" Target="https://github.com/sberdevices/plasma/pull/676" TargetMode="External"/><Relationship Id="rId880" Type="http://schemas.openxmlformats.org/officeDocument/2006/relationships/hyperlink" Target="https://github.com/WPMedia/arc-themes-blocks/pull/1411" TargetMode="External"/><Relationship Id="rId23" Type="http://schemas.openxmlformats.org/officeDocument/2006/relationships/hyperlink" Target="https://github.com/guardian/dotcom-rendering/pull/7128" TargetMode="External"/><Relationship Id="rId119" Type="http://schemas.openxmlformats.org/officeDocument/2006/relationships/hyperlink" Target="https://github.com/Esri/calcite-design-system/pull/7568" TargetMode="External"/><Relationship Id="rId326" Type="http://schemas.openxmlformats.org/officeDocument/2006/relationships/hyperlink" Target="https://github.com/Esri/calcite-design-system/pull/9688" TargetMode="External"/><Relationship Id="rId533" Type="http://schemas.openxmlformats.org/officeDocument/2006/relationships/hyperlink" Target="https://github.com/WPMedia/arc-themes-blocks/pull/862" TargetMode="External"/><Relationship Id="rId978" Type="http://schemas.openxmlformats.org/officeDocument/2006/relationships/hyperlink" Target="https://github.com/storacha/bluesky-backup-webapp-server/pull/171" TargetMode="External"/><Relationship Id="rId740" Type="http://schemas.openxmlformats.org/officeDocument/2006/relationships/hyperlink" Target="https://github.com/contentful/forma-36/pull/2057" TargetMode="External"/><Relationship Id="rId838" Type="http://schemas.openxmlformats.org/officeDocument/2006/relationships/hyperlink" Target="https://github.com/WPMedia/arc-themes-blocks/pull/1365" TargetMode="External"/><Relationship Id="rId172" Type="http://schemas.openxmlformats.org/officeDocument/2006/relationships/hyperlink" Target="https://github.com/contentful/forma-36/pull/2498" TargetMode="External"/><Relationship Id="rId477" Type="http://schemas.openxmlformats.org/officeDocument/2006/relationships/hyperlink" Target="https://github.com/department-of-veterans-affairs/component-library/pull/1487" TargetMode="External"/><Relationship Id="rId600" Type="http://schemas.openxmlformats.org/officeDocument/2006/relationships/hyperlink" Target="https://github.com/guardian/gateway/pull/791" TargetMode="External"/><Relationship Id="rId684" Type="http://schemas.openxmlformats.org/officeDocument/2006/relationships/hyperlink" Target="https://github.com/hackworthltd/primer-app/pull/213" TargetMode="External"/><Relationship Id="rId337" Type="http://schemas.openxmlformats.org/officeDocument/2006/relationships/hyperlink" Target="https://github.com/department-of-veterans-affairs/component-library/pull/1096" TargetMode="External"/><Relationship Id="rId891" Type="http://schemas.openxmlformats.org/officeDocument/2006/relationships/hyperlink" Target="https://github.com/WPMedia/arc-themes-blocks/pull/1556" TargetMode="External"/><Relationship Id="rId905" Type="http://schemas.openxmlformats.org/officeDocument/2006/relationships/hyperlink" Target="https://github.com/guardian/dotcom-rendering/pull/6405" TargetMode="External"/><Relationship Id="rId989" Type="http://schemas.openxmlformats.org/officeDocument/2006/relationships/hyperlink" Target="https://github.com/recharts/recharts/pull/4561" TargetMode="External"/><Relationship Id="rId34" Type="http://schemas.openxmlformats.org/officeDocument/2006/relationships/hyperlink" Target="https://github.com/guardian/source/pull/1307" TargetMode="External"/><Relationship Id="rId544" Type="http://schemas.openxmlformats.org/officeDocument/2006/relationships/hyperlink" Target="https://github.com/ithaka/pharos/pull/862" TargetMode="External"/><Relationship Id="rId751" Type="http://schemas.openxmlformats.org/officeDocument/2006/relationships/hyperlink" Target="https://github.com/titicacadev/triple-frontend/pull/1754" TargetMode="External"/><Relationship Id="rId849" Type="http://schemas.openxmlformats.org/officeDocument/2006/relationships/hyperlink" Target="https://github.com/dpc-sdp/ripple-framework/pull/224" TargetMode="External"/><Relationship Id="rId183" Type="http://schemas.openxmlformats.org/officeDocument/2006/relationships/hyperlink" Target="https://github.com/coder/coder/pull/10857" TargetMode="External"/><Relationship Id="rId390" Type="http://schemas.openxmlformats.org/officeDocument/2006/relationships/hyperlink" Target="https://github.com/Khan/wonder-blocks/pull/2309" TargetMode="External"/><Relationship Id="rId404" Type="http://schemas.openxmlformats.org/officeDocument/2006/relationships/hyperlink" Target="https://github.com/chromaui/chromatic-e2e/pull/203" TargetMode="External"/><Relationship Id="rId611" Type="http://schemas.openxmlformats.org/officeDocument/2006/relationships/hyperlink" Target="https://github.com/eisbuk/EisBuk/pull/183" TargetMode="External"/><Relationship Id="rId250" Type="http://schemas.openxmlformats.org/officeDocument/2006/relationships/hyperlink" Target="https://github.com/storybookjs/storybook/pull/24395" TargetMode="External"/><Relationship Id="rId488" Type="http://schemas.openxmlformats.org/officeDocument/2006/relationships/hyperlink" Target="https://github.com/storybookjs/storybook/pull/13685" TargetMode="External"/><Relationship Id="rId695" Type="http://schemas.openxmlformats.org/officeDocument/2006/relationships/hyperlink" Target="https://github.com/guardian/dotcom-rendering/pull/3897" TargetMode="External"/><Relationship Id="rId709" Type="http://schemas.openxmlformats.org/officeDocument/2006/relationships/hyperlink" Target="https://github.com/WPMedia/arc-themes-blocks/pull/1092" TargetMode="External"/><Relationship Id="rId916" Type="http://schemas.openxmlformats.org/officeDocument/2006/relationships/hyperlink" Target="https://github.com/WPMedia/arc-themes-blocks/pull/1462" TargetMode="External"/><Relationship Id="rId45" Type="http://schemas.openxmlformats.org/officeDocument/2006/relationships/hyperlink" Target="https://github.com/contentful/forma-36/pull/2436" TargetMode="External"/><Relationship Id="rId110" Type="http://schemas.openxmlformats.org/officeDocument/2006/relationships/hyperlink" Target="https://github.com/isomerpages/isomercms-frontend/pull/1435" TargetMode="External"/><Relationship Id="rId348" Type="http://schemas.openxmlformats.org/officeDocument/2006/relationships/hyperlink" Target="https://github.com/Esri/calcite-design-system/pull/9912" TargetMode="External"/><Relationship Id="rId555" Type="http://schemas.openxmlformats.org/officeDocument/2006/relationships/hyperlink" Target="https://github.com/ntls-io/nautilus-wallet/pull/28" TargetMode="External"/><Relationship Id="rId762" Type="http://schemas.openxmlformats.org/officeDocument/2006/relationships/hyperlink" Target="https://github.com/GCTC-NTGC/gc-digital-talent/pull/2728" TargetMode="External"/><Relationship Id="rId194" Type="http://schemas.openxmlformats.org/officeDocument/2006/relationships/hyperlink" Target="https://github.com/guardian/dotcom-rendering/pull/9792" TargetMode="External"/><Relationship Id="rId208" Type="http://schemas.openxmlformats.org/officeDocument/2006/relationships/hyperlink" Target="https://github.com/solid-design-system/solid/pull/318" TargetMode="External"/><Relationship Id="rId415" Type="http://schemas.openxmlformats.org/officeDocument/2006/relationships/hyperlink" Target="https://github.com/sparkdotfi/spark-app/pull/82" TargetMode="External"/><Relationship Id="rId622" Type="http://schemas.openxmlformats.org/officeDocument/2006/relationships/hyperlink" Target="https://github.com/WPMedia/arc-themes-blocks/pull/862" TargetMode="External"/><Relationship Id="rId261" Type="http://schemas.openxmlformats.org/officeDocument/2006/relationships/hyperlink" Target="https://github.com/ethereum/ethereum-org-website/pull/12594" TargetMode="External"/><Relationship Id="rId499" Type="http://schemas.openxmlformats.org/officeDocument/2006/relationships/hyperlink" Target="https://github.com/guardian/dotcom-rendering/pull/12298" TargetMode="External"/><Relationship Id="rId927" Type="http://schemas.openxmlformats.org/officeDocument/2006/relationships/hyperlink" Target="https://github.com/serendie/serendie/pull/28" TargetMode="External"/><Relationship Id="rId56" Type="http://schemas.openxmlformats.org/officeDocument/2006/relationships/hyperlink" Target="https://github.com/livechat/design-system/pull/518" TargetMode="External"/><Relationship Id="rId359" Type="http://schemas.openxmlformats.org/officeDocument/2006/relationships/hyperlink" Target="https://github.com/adobe/spectrum-css/pull/2929" TargetMode="External"/><Relationship Id="rId566" Type="http://schemas.openxmlformats.org/officeDocument/2006/relationships/hyperlink" Target="https://github.com/WPMedia/arc-themes-blocks/pull/1014" TargetMode="External"/><Relationship Id="rId773" Type="http://schemas.openxmlformats.org/officeDocument/2006/relationships/hyperlink" Target="https://github.com/WPMedia/arc-themes-blocks/pull/1386" TargetMode="External"/><Relationship Id="rId121" Type="http://schemas.openxmlformats.org/officeDocument/2006/relationships/hyperlink" Target="https://github.com/seek-oss/braid-design-system/pull/1240" TargetMode="External"/><Relationship Id="rId219" Type="http://schemas.openxmlformats.org/officeDocument/2006/relationships/hyperlink" Target="https://github.com/recharts/recharts/pull/4062" TargetMode="External"/><Relationship Id="rId426" Type="http://schemas.openxmlformats.org/officeDocument/2006/relationships/hyperlink" Target="https://github.com/Esri/calcite-design-system/pull/10621" TargetMode="External"/><Relationship Id="rId633" Type="http://schemas.openxmlformats.org/officeDocument/2006/relationships/hyperlink" Target="https://github.com/guardian/dotcom-rendering/pull/3519" TargetMode="External"/><Relationship Id="rId980" Type="http://schemas.openxmlformats.org/officeDocument/2006/relationships/hyperlink" Target="https://github.com/homebound-team/beam/pull/900" TargetMode="External"/><Relationship Id="rId840" Type="http://schemas.openxmlformats.org/officeDocument/2006/relationships/hyperlink" Target="https://github.com/chanzuckerberg/sci-components/pull/236" TargetMode="External"/><Relationship Id="rId938" Type="http://schemas.openxmlformats.org/officeDocument/2006/relationships/hyperlink" Target="https://github.com/storybookjs/storybook/pull/15080" TargetMode="External"/><Relationship Id="rId67" Type="http://schemas.openxmlformats.org/officeDocument/2006/relationships/hyperlink" Target="https://github.com/ni/nimble/pull/2341" TargetMode="External"/><Relationship Id="rId272" Type="http://schemas.openxmlformats.org/officeDocument/2006/relationships/hyperlink" Target="https://github.com/Crystal-Creations-GbR/crystal-components/pull/70" TargetMode="External"/><Relationship Id="rId577" Type="http://schemas.openxmlformats.org/officeDocument/2006/relationships/hyperlink" Target="https://github.com/storybookjs/storybook/pull/13685" TargetMode="External"/><Relationship Id="rId700" Type="http://schemas.openxmlformats.org/officeDocument/2006/relationships/hyperlink" Target="https://github.com/eisbuk/EisBuk/pull/183" TargetMode="External"/><Relationship Id="rId132" Type="http://schemas.openxmlformats.org/officeDocument/2006/relationships/hyperlink" Target="https://github.com/guardian/dotcom-rendering/pull/8478" TargetMode="External"/><Relationship Id="rId784" Type="http://schemas.openxmlformats.org/officeDocument/2006/relationships/hyperlink" Target="https://github.com/guardian/dotcom-rendering/pull/3897" TargetMode="External"/><Relationship Id="rId991" Type="http://schemas.openxmlformats.org/officeDocument/2006/relationships/hyperlink" Target="https://github.com/ni/nimble/pull/834" TargetMode="External"/><Relationship Id="rId437" Type="http://schemas.openxmlformats.org/officeDocument/2006/relationships/hyperlink" Target="https://github.com/Esri/calcite-design-system/pull/10820" TargetMode="External"/><Relationship Id="rId644" Type="http://schemas.openxmlformats.org/officeDocument/2006/relationships/hyperlink" Target="https://github.com/guardian/dotcom-rendering/pull/3645" TargetMode="External"/><Relationship Id="rId851" Type="http://schemas.openxmlformats.org/officeDocument/2006/relationships/hyperlink" Target="https://github.com/GCTC-NTGC/gc-digital-talent/pull/3865" TargetMode="External"/><Relationship Id="rId283" Type="http://schemas.openxmlformats.org/officeDocument/2006/relationships/hyperlink" Target="https://github.com/AmazeeLabs/silverback-template/pull/132" TargetMode="External"/><Relationship Id="rId490" Type="http://schemas.openxmlformats.org/officeDocument/2006/relationships/hyperlink" Target="https://github.com/nl-design-system/rijkshuisstijl-community/pull/620" TargetMode="External"/><Relationship Id="rId504" Type="http://schemas.openxmlformats.org/officeDocument/2006/relationships/hyperlink" Target="https://github.com/cultureamp/kaizen-design-system/pull/1053" TargetMode="External"/><Relationship Id="rId711" Type="http://schemas.openxmlformats.org/officeDocument/2006/relationships/hyperlink" Target="https://github.com/chanzuckerberg/edu-design-system/pull/921" TargetMode="External"/><Relationship Id="rId949" Type="http://schemas.openxmlformats.org/officeDocument/2006/relationships/hyperlink" Target="https://github.com/storybookjs/components-marketing/pull/35" TargetMode="External"/><Relationship Id="rId78" Type="http://schemas.openxmlformats.org/officeDocument/2006/relationships/hyperlink" Target="https://github.com/danskernesdigitalebibliotek/dpl-design-system/pull/239" TargetMode="External"/><Relationship Id="rId143" Type="http://schemas.openxmlformats.org/officeDocument/2006/relationships/hyperlink" Target="https://github.com/chromaui/addon-visual-tests/pull/69" TargetMode="External"/><Relationship Id="rId350" Type="http://schemas.openxmlformats.org/officeDocument/2006/relationships/hyperlink" Target="https://github.com/recharts/recharts/pull/4795" TargetMode="External"/><Relationship Id="rId588" Type="http://schemas.openxmlformats.org/officeDocument/2006/relationships/hyperlink" Target="https://github.com/WPMedia/arc-themes-blocks/pull/1019" TargetMode="External"/><Relationship Id="rId795" Type="http://schemas.openxmlformats.org/officeDocument/2006/relationships/hyperlink" Target="https://github.com/WPMedia/arc-themes-blocks/pull/1411" TargetMode="External"/><Relationship Id="rId809" Type="http://schemas.openxmlformats.org/officeDocument/2006/relationships/hyperlink" Target="https://github.com/WPMedia/arc-themes-components/pull/121" TargetMode="External"/><Relationship Id="rId9" Type="http://schemas.openxmlformats.org/officeDocument/2006/relationships/hyperlink" Target="https://github.com/ni/nimble/pull/966" TargetMode="External"/><Relationship Id="rId210" Type="http://schemas.openxmlformats.org/officeDocument/2006/relationships/hyperlink" Target="https://github.com/adobe/react-spectrum/pull/5705" TargetMode="External"/><Relationship Id="rId448" Type="http://schemas.openxmlformats.org/officeDocument/2006/relationships/hyperlink" Target="https://github.com/Esri/calcite-design-system/pull/9969" TargetMode="External"/><Relationship Id="rId655" Type="http://schemas.openxmlformats.org/officeDocument/2006/relationships/hyperlink" Target="https://github.com/WPMedia/arc-themes-blocks/pull/1014" TargetMode="External"/><Relationship Id="rId862" Type="http://schemas.openxmlformats.org/officeDocument/2006/relationships/hyperlink" Target="https://github.com/WPMedia/arc-themes-blocks/pull/1386" TargetMode="External"/><Relationship Id="rId294" Type="http://schemas.openxmlformats.org/officeDocument/2006/relationships/hyperlink" Target="https://github.com/coder/coder/pull/13031" TargetMode="External"/><Relationship Id="rId308" Type="http://schemas.openxmlformats.org/officeDocument/2006/relationships/hyperlink" Target="https://github.com/cloudblue/connect-ui-toolkit/pull/92" TargetMode="External"/><Relationship Id="rId515" Type="http://schemas.openxmlformats.org/officeDocument/2006/relationships/hyperlink" Target="https://github.com/storybookjs/storybook/pull/14251" TargetMode="External"/><Relationship Id="rId722" Type="http://schemas.openxmlformats.org/officeDocument/2006/relationships/hyperlink" Target="https://github.com/coder/coder/pull/981" TargetMode="External"/><Relationship Id="rId89" Type="http://schemas.openxmlformats.org/officeDocument/2006/relationships/hyperlink" Target="https://github.com/contentful/forma-36/pull/2498" TargetMode="External"/><Relationship Id="rId154" Type="http://schemas.openxmlformats.org/officeDocument/2006/relationships/hyperlink" Target="https://github.com/ForgeRock/forgerock-web-login-framework/pull/121" TargetMode="External"/><Relationship Id="rId361" Type="http://schemas.openxmlformats.org/officeDocument/2006/relationships/hyperlink" Target="https://github.com/guardian/dotcom-rendering/pull/10864" TargetMode="External"/><Relationship Id="rId599" Type="http://schemas.openxmlformats.org/officeDocument/2006/relationships/hyperlink" Target="https://github.com/guardian/gateway/pull/791" TargetMode="External"/><Relationship Id="rId1005" Type="http://schemas.openxmlformats.org/officeDocument/2006/relationships/hyperlink" Target="https://github.com/Khan/perseus/pull/2728" TargetMode="External"/><Relationship Id="rId459" Type="http://schemas.openxmlformats.org/officeDocument/2006/relationships/hyperlink" Target="https://github.com/epicmaxco/vuestic-ui/pull/4451" TargetMode="External"/><Relationship Id="rId666" Type="http://schemas.openxmlformats.org/officeDocument/2006/relationships/hyperlink" Target="https://github.com/homebound-team/beam/pull/409" TargetMode="External"/><Relationship Id="rId873" Type="http://schemas.openxmlformats.org/officeDocument/2006/relationships/hyperlink" Target="https://github.com/cultureamp/kaizen-design-system/pull/3051" TargetMode="External"/><Relationship Id="rId16" Type="http://schemas.openxmlformats.org/officeDocument/2006/relationships/hyperlink" Target="https://github.com/nickooms/learnstorybook-design-system/pull/1" TargetMode="External"/><Relationship Id="rId221" Type="http://schemas.openxmlformats.org/officeDocument/2006/relationships/hyperlink" Target="https://github.com/Esri/calcite-design-system/pull/8561" TargetMode="External"/><Relationship Id="rId319" Type="http://schemas.openxmlformats.org/officeDocument/2006/relationships/hyperlink" Target="https://github.com/danskernesdigitalebibliotek/dpl-design-system/pull/518" TargetMode="External"/><Relationship Id="rId526" Type="http://schemas.openxmlformats.org/officeDocument/2006/relationships/hyperlink" Target="https://github.com/opendatasoft/ods-dataviz-sdk/pull/266" TargetMode="External"/><Relationship Id="rId733" Type="http://schemas.openxmlformats.org/officeDocument/2006/relationships/hyperlink" Target="https://github.com/guardian/dotcom-rendering/pull/3645" TargetMode="External"/><Relationship Id="rId940" Type="http://schemas.openxmlformats.org/officeDocument/2006/relationships/hyperlink" Target="https://github.com/storybookjs/storybook/pull/19189" TargetMode="External"/><Relationship Id="rId1016" Type="http://schemas.openxmlformats.org/officeDocument/2006/relationships/hyperlink" Target="https://github.com/adobe/react-spectrum/pull/8893" TargetMode="External"/><Relationship Id="rId165" Type="http://schemas.openxmlformats.org/officeDocument/2006/relationships/hyperlink" Target="https://github.com/Esri/calcite-design-system/pull/8066" TargetMode="External"/><Relationship Id="rId372" Type="http://schemas.openxmlformats.org/officeDocument/2006/relationships/hyperlink" Target="https://github.com/DouyinFE/semi-design/pull/2431" TargetMode="External"/><Relationship Id="rId677" Type="http://schemas.openxmlformats.org/officeDocument/2006/relationships/hyperlink" Target="https://github.com/guardian/dotcom-rendering/pull/3724" TargetMode="External"/><Relationship Id="rId800" Type="http://schemas.openxmlformats.org/officeDocument/2006/relationships/hyperlink" Target="https://github.com/WPMedia/arc-themes-components/pull/116" TargetMode="External"/><Relationship Id="rId232" Type="http://schemas.openxmlformats.org/officeDocument/2006/relationships/hyperlink" Target="https://github.com/isomerpages/isomercms-frontend/pull/1620" TargetMode="External"/><Relationship Id="rId884" Type="http://schemas.openxmlformats.org/officeDocument/2006/relationships/hyperlink" Target="https://github.com/Trendyol/baklava/pull/327" TargetMode="External"/><Relationship Id="rId27" Type="http://schemas.openxmlformats.org/officeDocument/2006/relationships/hyperlink" Target="https://github.com/guardian/dotcom-rendering/pull/7128" TargetMode="External"/><Relationship Id="rId537" Type="http://schemas.openxmlformats.org/officeDocument/2006/relationships/hyperlink" Target="https://github.com/storybookjs/storybook/pull/14820" TargetMode="External"/><Relationship Id="rId744" Type="http://schemas.openxmlformats.org/officeDocument/2006/relationships/hyperlink" Target="https://github.com/adobe/react-spectrum/pull/3132" TargetMode="External"/><Relationship Id="rId951" Type="http://schemas.openxmlformats.org/officeDocument/2006/relationships/hyperlink" Target="https://github.com/ory/elements/pull/371" TargetMode="External"/><Relationship Id="rId80" Type="http://schemas.openxmlformats.org/officeDocument/2006/relationships/hyperlink" Target="https://github.com/NeurodataWithoutBorders/nwb-guide/pull/219" TargetMode="External"/><Relationship Id="rId176" Type="http://schemas.openxmlformats.org/officeDocument/2006/relationships/hyperlink" Target="https://github.com/kufu/smarthr-ui/pull/3975" TargetMode="External"/><Relationship Id="rId383" Type="http://schemas.openxmlformats.org/officeDocument/2006/relationships/hyperlink" Target="https://github.com/evidence-dev/evidence/pull/2436" TargetMode="External"/><Relationship Id="rId590" Type="http://schemas.openxmlformats.org/officeDocument/2006/relationships/hyperlink" Target="https://github.com/WPMedia/arc-themes-blocks/pull/1019" TargetMode="External"/><Relationship Id="rId604" Type="http://schemas.openxmlformats.org/officeDocument/2006/relationships/hyperlink" Target="https://github.com/storybookjs/storybook/pull/14251" TargetMode="External"/><Relationship Id="rId811" Type="http://schemas.openxmlformats.org/officeDocument/2006/relationships/hyperlink" Target="https://github.com/coder/coder/pull/981" TargetMode="External"/><Relationship Id="rId243" Type="http://schemas.openxmlformats.org/officeDocument/2006/relationships/hyperlink" Target="https://github.com/adobe/react-spectrum/pull/5941" TargetMode="External"/><Relationship Id="rId450" Type="http://schemas.openxmlformats.org/officeDocument/2006/relationships/hyperlink" Target="https://github.com/fortanix/baklava/pull/54" TargetMode="External"/><Relationship Id="rId688" Type="http://schemas.openxmlformats.org/officeDocument/2006/relationships/hyperlink" Target="https://github.com/guardian/gateway/pull/791" TargetMode="External"/><Relationship Id="rId895" Type="http://schemas.openxmlformats.org/officeDocument/2006/relationships/hyperlink" Target="https://github.com/coder/coder/pull/3189" TargetMode="External"/><Relationship Id="rId909" Type="http://schemas.openxmlformats.org/officeDocument/2006/relationships/hyperlink" Target="https://github.com/wellcomecollection/wellcomecollection.org/pull/8945" TargetMode="External"/><Relationship Id="rId38" Type="http://schemas.openxmlformats.org/officeDocument/2006/relationships/hyperlink" Target="https://github.com/NeurodataWithoutBorders/nwb-guide/pull/74" TargetMode="External"/><Relationship Id="rId103" Type="http://schemas.openxmlformats.org/officeDocument/2006/relationships/hyperlink" Target="https://github.com/guardian/dotcom-rendering/pull/7128" TargetMode="External"/><Relationship Id="rId310" Type="http://schemas.openxmlformats.org/officeDocument/2006/relationships/hyperlink" Target="https://github.com/NeurodataWithoutBorders/nwb-guide/pull/555" TargetMode="External"/><Relationship Id="rId548" Type="http://schemas.openxmlformats.org/officeDocument/2006/relationships/hyperlink" Target="https://github.com/getappmap/appmap-js/pull/255" TargetMode="External"/><Relationship Id="rId755" Type="http://schemas.openxmlformats.org/officeDocument/2006/relationships/hyperlink" Target="https://github.com/GCTC-NTGC/gc-digital-talent/pull/2728" TargetMode="External"/><Relationship Id="rId962" Type="http://schemas.openxmlformats.org/officeDocument/2006/relationships/hyperlink" Target="https://github.com/hackworthltd/primer-app/pull/332" TargetMode="External"/><Relationship Id="rId91" Type="http://schemas.openxmlformats.org/officeDocument/2006/relationships/hyperlink" Target="https://github.com/guardian/dotcom-rendering/pull/6954" TargetMode="External"/><Relationship Id="rId187" Type="http://schemas.openxmlformats.org/officeDocument/2006/relationships/hyperlink" Target="https://github.com/isomerpages/isomercms-frontend/pull/1398" TargetMode="External"/><Relationship Id="rId394" Type="http://schemas.openxmlformats.org/officeDocument/2006/relationships/hyperlink" Target="https://github.com/danskernesdigitalebibliotek/dpl-design-system/pull/650" TargetMode="External"/><Relationship Id="rId408" Type="http://schemas.openxmlformats.org/officeDocument/2006/relationships/hyperlink" Target="https://github.com/nl-design-system/rijkshuisstijl-community/pull/620" TargetMode="External"/><Relationship Id="rId615" Type="http://schemas.openxmlformats.org/officeDocument/2006/relationships/hyperlink" Target="https://github.com/eisbuk/EisBuk/pull/183" TargetMode="External"/><Relationship Id="rId822" Type="http://schemas.openxmlformats.org/officeDocument/2006/relationships/hyperlink" Target="https://github.com/WPMedia/arc-themes-blocks/pull/1481" TargetMode="External"/><Relationship Id="rId254" Type="http://schemas.openxmlformats.org/officeDocument/2006/relationships/hyperlink" Target="https://github.com/storybookjs/storybook/pull/26254" TargetMode="External"/><Relationship Id="rId699" Type="http://schemas.openxmlformats.org/officeDocument/2006/relationships/hyperlink" Target="https://github.com/chanzuckerberg/edu-design-system/pull/893" TargetMode="External"/><Relationship Id="rId49" Type="http://schemas.openxmlformats.org/officeDocument/2006/relationships/hyperlink" Target="https://github.com/e-gov/cvi/pull/113" TargetMode="External"/><Relationship Id="rId114" Type="http://schemas.openxmlformats.org/officeDocument/2006/relationships/hyperlink" Target="https://github.com/isomerpages/isomercms-frontend/pull/1396" TargetMode="External"/><Relationship Id="rId461" Type="http://schemas.openxmlformats.org/officeDocument/2006/relationships/hyperlink" Target="https://github.com/coder/coder/pull/16134" TargetMode="External"/><Relationship Id="rId559" Type="http://schemas.openxmlformats.org/officeDocument/2006/relationships/hyperlink" Target="https://github.com/Khan/wonder-blocks/pull/2441" TargetMode="External"/><Relationship Id="rId766" Type="http://schemas.openxmlformats.org/officeDocument/2006/relationships/hyperlink" Target="https://github.com/guardian/dotcom-rendering/pull/3724" TargetMode="External"/><Relationship Id="rId198" Type="http://schemas.openxmlformats.org/officeDocument/2006/relationships/hyperlink" Target="https://github.com/adobe/spectrum-css/pull/2424" TargetMode="External"/><Relationship Id="rId321" Type="http://schemas.openxmlformats.org/officeDocument/2006/relationships/hyperlink" Target="https://github.com/recharts/recharts/pull/4542" TargetMode="External"/><Relationship Id="rId419" Type="http://schemas.openxmlformats.org/officeDocument/2006/relationships/hyperlink" Target="https://github.com/guardian/dotcom-rendering/pull/12298" TargetMode="External"/><Relationship Id="rId626" Type="http://schemas.openxmlformats.org/officeDocument/2006/relationships/hyperlink" Target="https://github.com/BBC-archive/psammead/pull/4548" TargetMode="External"/><Relationship Id="rId973" Type="http://schemas.openxmlformats.org/officeDocument/2006/relationships/hyperlink" Target="https://github.com/guardian/dotcom-rendering/pull/6258" TargetMode="External"/><Relationship Id="rId833" Type="http://schemas.openxmlformats.org/officeDocument/2006/relationships/hyperlink" Target="https://github.com/storybookjs/storybook/pull/19029" TargetMode="External"/><Relationship Id="rId265" Type="http://schemas.openxmlformats.org/officeDocument/2006/relationships/hyperlink" Target="https://github.com/GCTC-NTGC/gc-digital-talent/pull/8405" TargetMode="External"/><Relationship Id="rId472" Type="http://schemas.openxmlformats.org/officeDocument/2006/relationships/hyperlink" Target="https://github.com/Khan/wonder-blocks/pull/2309" TargetMode="External"/><Relationship Id="rId900" Type="http://schemas.openxmlformats.org/officeDocument/2006/relationships/hyperlink" Target="https://github.com/sbb-design-systems/lyne-components/pull/1461" TargetMode="External"/><Relationship Id="rId125" Type="http://schemas.openxmlformats.org/officeDocument/2006/relationships/hyperlink" Target="https://github.com/NeurodataWithoutBorders/nwb-guide/pull/305" TargetMode="External"/><Relationship Id="rId332" Type="http://schemas.openxmlformats.org/officeDocument/2006/relationships/hyperlink" Target="https://github.com/ni/nimble/pull/2167" TargetMode="External"/><Relationship Id="rId777" Type="http://schemas.openxmlformats.org/officeDocument/2006/relationships/hyperlink" Target="https://github.com/WPMedia/arc-themes-blocks/pull/1386" TargetMode="External"/><Relationship Id="rId984" Type="http://schemas.openxmlformats.org/officeDocument/2006/relationships/hyperlink" Target="https://github.com/Khan/wonder-blocks/pull/2602" TargetMode="External"/><Relationship Id="rId637" Type="http://schemas.openxmlformats.org/officeDocument/2006/relationships/hyperlink" Target="https://github.com/getappmap/appmap-js/pull/255" TargetMode="External"/><Relationship Id="rId844" Type="http://schemas.openxmlformats.org/officeDocument/2006/relationships/hyperlink" Target="https://github.com/GCTC-NTGC/gc-digital-talent/pull/2728" TargetMode="External"/><Relationship Id="rId276" Type="http://schemas.openxmlformats.org/officeDocument/2006/relationships/hyperlink" Target="https://github.com/chromaui/chromatic-docs/pull/400" TargetMode="External"/><Relationship Id="rId483" Type="http://schemas.openxmlformats.org/officeDocument/2006/relationships/hyperlink" Target="https://github.com/curology/radiance-ui/pull/642" TargetMode="External"/><Relationship Id="rId690" Type="http://schemas.openxmlformats.org/officeDocument/2006/relationships/hyperlink" Target="https://github.com/guardian/dotcom-rendering/pull/3823" TargetMode="External"/><Relationship Id="rId704" Type="http://schemas.openxmlformats.org/officeDocument/2006/relationships/hyperlink" Target="https://github.com/ni/nimble/pull/406" TargetMode="External"/><Relationship Id="rId911" Type="http://schemas.openxmlformats.org/officeDocument/2006/relationships/hyperlink" Target="https://github.com/DouyinFE/semi-design/pull/1317" TargetMode="External"/><Relationship Id="rId40" Type="http://schemas.openxmlformats.org/officeDocument/2006/relationships/hyperlink" Target="https://github.com/jpmorganchase/salt-ds/pull/154" TargetMode="External"/><Relationship Id="rId136" Type="http://schemas.openxmlformats.org/officeDocument/2006/relationships/hyperlink" Target="https://github.com/livechat/design-system/pull/518" TargetMode="External"/><Relationship Id="rId343" Type="http://schemas.openxmlformats.org/officeDocument/2006/relationships/hyperlink" Target="https://github.com/kufu/smarthr-ui/pull/4479" TargetMode="External"/><Relationship Id="rId550" Type="http://schemas.openxmlformats.org/officeDocument/2006/relationships/hyperlink" Target="https://github.com/coder/coder/pull/16134" TargetMode="External"/><Relationship Id="rId788" Type="http://schemas.openxmlformats.org/officeDocument/2006/relationships/hyperlink" Target="https://github.com/WPMedia/arc-themes-blocks/pull/1411" TargetMode="External"/><Relationship Id="rId995" Type="http://schemas.openxmlformats.org/officeDocument/2006/relationships/hyperlink" Target="https://github.com/4A2RfF5Q5x/learnstorybook-design-system/pull/2" TargetMode="External"/><Relationship Id="rId203" Type="http://schemas.openxmlformats.org/officeDocument/2006/relationships/hyperlink" Target="https://github.com/AmazeeLabs/silverback-template/pull/132" TargetMode="External"/><Relationship Id="rId648" Type="http://schemas.openxmlformats.org/officeDocument/2006/relationships/hyperlink" Target="https://github.com/cultureamp/kaizen-design-system/pull/2300" TargetMode="External"/><Relationship Id="rId855" Type="http://schemas.openxmlformats.org/officeDocument/2006/relationships/hyperlink" Target="https://github.com/storybookjs/components-marketing/pull/35" TargetMode="External"/><Relationship Id="rId287" Type="http://schemas.openxmlformats.org/officeDocument/2006/relationships/hyperlink" Target="https://github.com/ethereum/ethereum-org-website/pull/12639" TargetMode="External"/><Relationship Id="rId410" Type="http://schemas.openxmlformats.org/officeDocument/2006/relationships/hyperlink" Target="https://github.com/gradio-app/gradio/pull/9260" TargetMode="External"/><Relationship Id="rId494" Type="http://schemas.openxmlformats.org/officeDocument/2006/relationships/hyperlink" Target="https://github.com/contentful/forma-36/pull/757" TargetMode="External"/><Relationship Id="rId508" Type="http://schemas.openxmlformats.org/officeDocument/2006/relationships/hyperlink" Target="https://github.com/sparkdotfi/spark-app/pull/334" TargetMode="External"/><Relationship Id="rId715" Type="http://schemas.openxmlformats.org/officeDocument/2006/relationships/hyperlink" Target="https://github.com/BBC-archive/psammead/pull/4548" TargetMode="External"/><Relationship Id="rId922" Type="http://schemas.openxmlformats.org/officeDocument/2006/relationships/hyperlink" Target="https://github.com/storybookjs/storybook/pull/19029" TargetMode="External"/><Relationship Id="rId147" Type="http://schemas.openxmlformats.org/officeDocument/2006/relationships/hyperlink" Target="https://github.com/storybookjs/storybook/pull/24146" TargetMode="External"/><Relationship Id="rId354" Type="http://schemas.openxmlformats.org/officeDocument/2006/relationships/hyperlink" Target="https://github.com/gradio-app/gradio/pull/8851" TargetMode="External"/><Relationship Id="rId799" Type="http://schemas.openxmlformats.org/officeDocument/2006/relationships/hyperlink" Target="https://github.com/chanzuckerberg/edu-design-system/pull/921" TargetMode="External"/><Relationship Id="rId51" Type="http://schemas.openxmlformats.org/officeDocument/2006/relationships/hyperlink" Target="https://github.com/contentful/forma-36/pull/2430" TargetMode="External"/><Relationship Id="rId561" Type="http://schemas.openxmlformats.org/officeDocument/2006/relationships/hyperlink" Target="https://github.com/ntls-io/nautilus-wallet/pull/23" TargetMode="External"/><Relationship Id="rId659" Type="http://schemas.openxmlformats.org/officeDocument/2006/relationships/hyperlink" Target="https://github.com/titicacadev/triple-frontend/pull/1754" TargetMode="External"/><Relationship Id="rId866" Type="http://schemas.openxmlformats.org/officeDocument/2006/relationships/hyperlink" Target="https://github.com/chanzuckerberg/edu-design-system/pull/1346" TargetMode="External"/><Relationship Id="rId214" Type="http://schemas.openxmlformats.org/officeDocument/2006/relationships/hyperlink" Target="https://github.com/guardian/dotcom-rendering/pull/8478" TargetMode="External"/><Relationship Id="rId298" Type="http://schemas.openxmlformats.org/officeDocument/2006/relationships/hyperlink" Target="https://github.com/recharts/recharts/pull/4062" TargetMode="External"/><Relationship Id="rId421" Type="http://schemas.openxmlformats.org/officeDocument/2006/relationships/hyperlink" Target="https://github.com/jpmorganchase/salt-ds/pull/3551" TargetMode="External"/><Relationship Id="rId519" Type="http://schemas.openxmlformats.org/officeDocument/2006/relationships/hyperlink" Target="https://github.com/storybookjs/storybook/pull/14172" TargetMode="External"/><Relationship Id="rId158" Type="http://schemas.openxmlformats.org/officeDocument/2006/relationships/hyperlink" Target="https://github.com/recharts/recharts/pull/3908" TargetMode="External"/><Relationship Id="rId726" Type="http://schemas.openxmlformats.org/officeDocument/2006/relationships/hyperlink" Target="https://github.com/WPMedia/arc-themes-blocks/pull/1347" TargetMode="External"/><Relationship Id="rId933" Type="http://schemas.openxmlformats.org/officeDocument/2006/relationships/hyperlink" Target="https://github.com/opengovsg/isomer/pull/1144" TargetMode="External"/><Relationship Id="rId1009" Type="http://schemas.openxmlformats.org/officeDocument/2006/relationships/hyperlink" Target="https://github.com/Khan/wonder-blocks/pull/2715" TargetMode="External"/><Relationship Id="rId62" Type="http://schemas.openxmlformats.org/officeDocument/2006/relationships/hyperlink" Target="https://github.com/coder/coder/pull/7210" TargetMode="External"/><Relationship Id="rId365" Type="http://schemas.openxmlformats.org/officeDocument/2006/relationships/hyperlink" Target="https://github.com/Esri/calcite-design-system/pull/9969" TargetMode="External"/><Relationship Id="rId572" Type="http://schemas.openxmlformats.org/officeDocument/2006/relationships/hyperlink" Target="https://github.com/contentful/forma-36/pull/1093" TargetMode="External"/><Relationship Id="rId225" Type="http://schemas.openxmlformats.org/officeDocument/2006/relationships/hyperlink" Target="https://github.com/Esri/calcite-design-system/pull/8561" TargetMode="External"/><Relationship Id="rId432" Type="http://schemas.openxmlformats.org/officeDocument/2006/relationships/hyperlink" Target="https://github.com/Longhorn-Developers/UT-Registration-Plus/pull/425" TargetMode="External"/><Relationship Id="rId877" Type="http://schemas.openxmlformats.org/officeDocument/2006/relationships/hyperlink" Target="https://github.com/WPMedia/arc-themes-blocks/pull/1411" TargetMode="External"/><Relationship Id="rId737" Type="http://schemas.openxmlformats.org/officeDocument/2006/relationships/hyperlink" Target="https://github.com/WPMedia/arc-themes-blocks/pull/1335" TargetMode="External"/><Relationship Id="rId944" Type="http://schemas.openxmlformats.org/officeDocument/2006/relationships/hyperlink" Target="https://github.com/adobe/react-spectrum/pull/2515" TargetMode="External"/><Relationship Id="rId73" Type="http://schemas.openxmlformats.org/officeDocument/2006/relationships/hyperlink" Target="https://github.com/nulogy/design-system/pull/1447" TargetMode="External"/><Relationship Id="rId169" Type="http://schemas.openxmlformats.org/officeDocument/2006/relationships/hyperlink" Target="https://github.com/contentful/forma-36/pull/2498" TargetMode="External"/><Relationship Id="rId376" Type="http://schemas.openxmlformats.org/officeDocument/2006/relationships/hyperlink" Target="https://github.com/recharts/recharts/pull/4441" TargetMode="External"/><Relationship Id="rId583" Type="http://schemas.openxmlformats.org/officeDocument/2006/relationships/hyperlink" Target="https://github.com/contentful/forma-36/pull/757" TargetMode="External"/><Relationship Id="rId790" Type="http://schemas.openxmlformats.org/officeDocument/2006/relationships/hyperlink" Target="https://github.com/guardian/gateway/pull/1575" TargetMode="External"/><Relationship Id="rId804" Type="http://schemas.openxmlformats.org/officeDocument/2006/relationships/hyperlink" Target="https://github.com/coder/coder/pull/3189" TargetMode="External"/><Relationship Id="rId4" Type="http://schemas.openxmlformats.org/officeDocument/2006/relationships/hyperlink" Target="https://github.com/storybookjs/storybook/pull/14528" TargetMode="External"/><Relationship Id="rId236" Type="http://schemas.openxmlformats.org/officeDocument/2006/relationships/hyperlink" Target="https://github.com/ni/nimble/pull/1791" TargetMode="External"/><Relationship Id="rId443" Type="http://schemas.openxmlformats.org/officeDocument/2006/relationships/hyperlink" Target="https://github.com/kufu/smarthr-ui/pull/5091" TargetMode="External"/><Relationship Id="rId650" Type="http://schemas.openxmlformats.org/officeDocument/2006/relationships/hyperlink" Target="https://github.com/dpc-sdp/ripple/pull/1111" TargetMode="External"/><Relationship Id="rId888" Type="http://schemas.openxmlformats.org/officeDocument/2006/relationships/hyperlink" Target="https://github.com/iterative/vscode-dvc/pull/2850" TargetMode="External"/><Relationship Id="rId303" Type="http://schemas.openxmlformats.org/officeDocument/2006/relationships/hyperlink" Target="https://github.com/kufu/smarthr-ui/pull/4626" TargetMode="External"/><Relationship Id="rId748" Type="http://schemas.openxmlformats.org/officeDocument/2006/relationships/hyperlink" Target="https://github.com/titicacadev/triple-frontend/pull/1754" TargetMode="External"/><Relationship Id="rId955" Type="http://schemas.openxmlformats.org/officeDocument/2006/relationships/hyperlink" Target="https://github.com/chanzuckerberg/edu-design-system/pull/1322" TargetMode="External"/><Relationship Id="rId84" Type="http://schemas.openxmlformats.org/officeDocument/2006/relationships/hyperlink" Target="https://github.com/input-output-hk/lace/pull/128" TargetMode="External"/><Relationship Id="rId387" Type="http://schemas.openxmlformats.org/officeDocument/2006/relationships/hyperlink" Target="https://github.com/sl-design-system/components/pull/1454" TargetMode="External"/><Relationship Id="rId510" Type="http://schemas.openxmlformats.org/officeDocument/2006/relationships/hyperlink" Target="https://github.com/cultureamp/kaizen-design-system/pull/1218" TargetMode="External"/><Relationship Id="rId594" Type="http://schemas.openxmlformats.org/officeDocument/2006/relationships/hyperlink" Target="https://github.com/WPMedia/arc-themes-blocks/pull/1062" TargetMode="External"/><Relationship Id="rId608" Type="http://schemas.openxmlformats.org/officeDocument/2006/relationships/hyperlink" Target="https://github.com/PostHog/posthog/pull/5736" TargetMode="External"/><Relationship Id="rId815" Type="http://schemas.openxmlformats.org/officeDocument/2006/relationships/hyperlink" Target="https://github.com/guardian/dotcom-rendering/pull/5529" TargetMode="External"/><Relationship Id="rId247" Type="http://schemas.openxmlformats.org/officeDocument/2006/relationships/hyperlink" Target="https://github.com/navikt/aksel/pull/2395" TargetMode="External"/><Relationship Id="rId899" Type="http://schemas.openxmlformats.org/officeDocument/2006/relationships/hyperlink" Target="https://github.com/sbb-design-systems/lyne-components/pull/1461" TargetMode="External"/><Relationship Id="rId1000" Type="http://schemas.openxmlformats.org/officeDocument/2006/relationships/hyperlink" Target="https://github.com/guardian/dotcom-rendering/pull/6405" TargetMode="External"/><Relationship Id="rId107" Type="http://schemas.openxmlformats.org/officeDocument/2006/relationships/hyperlink" Target="https://github.com/isomerpages/isomercms-frontend/pull/1398" TargetMode="External"/><Relationship Id="rId454" Type="http://schemas.openxmlformats.org/officeDocument/2006/relationships/hyperlink" Target="https://github.com/DouyinFE/semi-design/pull/2431" TargetMode="External"/><Relationship Id="rId661" Type="http://schemas.openxmlformats.org/officeDocument/2006/relationships/hyperlink" Target="https://github.com/contentful/forma-36/pull/1093" TargetMode="External"/><Relationship Id="rId759" Type="http://schemas.openxmlformats.org/officeDocument/2006/relationships/hyperlink" Target="https://github.com/GCTC-NTGC/gc-digital-talent/pull/2728" TargetMode="External"/><Relationship Id="rId966" Type="http://schemas.openxmlformats.org/officeDocument/2006/relationships/hyperlink" Target="https://github.com/nodejs/nodejs.org/pull/7754" TargetMode="External"/><Relationship Id="rId11" Type="http://schemas.openxmlformats.org/officeDocument/2006/relationships/hyperlink" Target="https://github.com/guardian/dotcom-rendering/pull/6954" TargetMode="External"/><Relationship Id="rId314" Type="http://schemas.openxmlformats.org/officeDocument/2006/relationships/hyperlink" Target="https://github.com/danskernesdigitalebibliotek/dpl-design-system/pull/650" TargetMode="External"/><Relationship Id="rId398" Type="http://schemas.openxmlformats.org/officeDocument/2006/relationships/hyperlink" Target="https://github.com/chromaui/chromatic-e2e/pull/207" TargetMode="External"/><Relationship Id="rId521" Type="http://schemas.openxmlformats.org/officeDocument/2006/relationships/hyperlink" Target="https://github.com/homebound-team/beam/pull/61" TargetMode="External"/><Relationship Id="rId619" Type="http://schemas.openxmlformats.org/officeDocument/2006/relationships/hyperlink" Target="https://github.com/ithaka/pharos/pull/36" TargetMode="External"/><Relationship Id="rId95" Type="http://schemas.openxmlformats.org/officeDocument/2006/relationships/hyperlink" Target="https://github.com/ni/nimble/pull/1335" TargetMode="External"/><Relationship Id="rId160" Type="http://schemas.openxmlformats.org/officeDocument/2006/relationships/hyperlink" Target="https://github.com/NeurodataWithoutBorders/nwb-guide/pull/219" TargetMode="External"/><Relationship Id="rId826" Type="http://schemas.openxmlformats.org/officeDocument/2006/relationships/hyperlink" Target="https://github.com/WPMedia/arc-themes-blocks/pull/1335" TargetMode="External"/><Relationship Id="rId1011" Type="http://schemas.openxmlformats.org/officeDocument/2006/relationships/hyperlink" Target="https://github.com/Khan/wonder-blocks/pull/2766" TargetMode="External"/><Relationship Id="rId258" Type="http://schemas.openxmlformats.org/officeDocument/2006/relationships/hyperlink" Target="https://github.com/department-of-veterans-affairs/component-library/pull/1096" TargetMode="External"/><Relationship Id="rId465" Type="http://schemas.openxmlformats.org/officeDocument/2006/relationships/hyperlink" Target="https://github.com/kufu/smarthr-ui/pull/5307" TargetMode="External"/><Relationship Id="rId672" Type="http://schemas.openxmlformats.org/officeDocument/2006/relationships/hyperlink" Target="https://github.com/Workday/canvas-kit/pull/1396" TargetMode="External"/><Relationship Id="rId22" Type="http://schemas.openxmlformats.org/officeDocument/2006/relationships/hyperlink" Target="https://github.com/adobe/react-spectrum/pull/2515" TargetMode="External"/><Relationship Id="rId118" Type="http://schemas.openxmlformats.org/officeDocument/2006/relationships/hyperlink" Target="https://github.com/NeurodataWithoutBorders/nwb-guide/pull/74" TargetMode="External"/><Relationship Id="rId325" Type="http://schemas.openxmlformats.org/officeDocument/2006/relationships/hyperlink" Target="https://github.com/department-of-veterans-affairs/component-library/pull/1073" TargetMode="External"/><Relationship Id="rId532" Type="http://schemas.openxmlformats.org/officeDocument/2006/relationships/hyperlink" Target="https://github.com/sparkdotfi/spark-app/pull/404" TargetMode="External"/><Relationship Id="rId977" Type="http://schemas.openxmlformats.org/officeDocument/2006/relationships/hyperlink" Target="https://github.com/ithaka/pharos/pull/570" TargetMode="External"/><Relationship Id="rId171" Type="http://schemas.openxmlformats.org/officeDocument/2006/relationships/hyperlink" Target="https://github.com/storybookjs/storybook/pull/24395" TargetMode="External"/><Relationship Id="rId837" Type="http://schemas.openxmlformats.org/officeDocument/2006/relationships/hyperlink" Target="https://github.com/razorpay/blade/pull/634" TargetMode="External"/><Relationship Id="rId269" Type="http://schemas.openxmlformats.org/officeDocument/2006/relationships/hyperlink" Target="https://github.com/navikt/aksel/pull/2795" TargetMode="External"/><Relationship Id="rId476" Type="http://schemas.openxmlformats.org/officeDocument/2006/relationships/hyperlink" Target="https://github.com/department-of-veterans-affairs/component-library/pull/1487" TargetMode="External"/><Relationship Id="rId683" Type="http://schemas.openxmlformats.org/officeDocument/2006/relationships/hyperlink" Target="https://github.com/hackworthltd/primer-app/pull/213" TargetMode="External"/><Relationship Id="rId890" Type="http://schemas.openxmlformats.org/officeDocument/2006/relationships/hyperlink" Target="https://github.com/WPMedia/arc-themes-blocks/pull/1556" TargetMode="External"/><Relationship Id="rId904" Type="http://schemas.openxmlformats.org/officeDocument/2006/relationships/hyperlink" Target="https://github.com/guardian/dotcom-rendering/pull/5529" TargetMode="External"/><Relationship Id="rId33" Type="http://schemas.openxmlformats.org/officeDocument/2006/relationships/hyperlink" Target="https://github.com/adobe/react-spectrum/pull/4243" TargetMode="External"/><Relationship Id="rId129" Type="http://schemas.openxmlformats.org/officeDocument/2006/relationships/hyperlink" Target="https://github.com/solid-design-system/solid/pull/318" TargetMode="External"/><Relationship Id="rId336" Type="http://schemas.openxmlformats.org/officeDocument/2006/relationships/hyperlink" Target="https://github.com/Sage/carbon/pull/6795" TargetMode="External"/><Relationship Id="rId543" Type="http://schemas.openxmlformats.org/officeDocument/2006/relationships/hyperlink" Target="https://github.com/adobe/react-spectrum/pull/2057" TargetMode="External"/><Relationship Id="rId988" Type="http://schemas.openxmlformats.org/officeDocument/2006/relationships/hyperlink" Target="https://github.com/storybookjs/storybook/pull/19952" TargetMode="External"/><Relationship Id="rId182" Type="http://schemas.openxmlformats.org/officeDocument/2006/relationships/hyperlink" Target="https://github.com/coder/coder/pull/10857" TargetMode="External"/><Relationship Id="rId403" Type="http://schemas.openxmlformats.org/officeDocument/2006/relationships/hyperlink" Target="https://github.com/misskey-dev/misskey/pull/13779" TargetMode="External"/><Relationship Id="rId750" Type="http://schemas.openxmlformats.org/officeDocument/2006/relationships/hyperlink" Target="https://github.com/WPMedia/arc-themes-blocks/pull/1365" TargetMode="External"/><Relationship Id="rId848" Type="http://schemas.openxmlformats.org/officeDocument/2006/relationships/hyperlink" Target="https://github.com/dpc-sdp/ripple-framework/pull/224" TargetMode="External"/><Relationship Id="rId487" Type="http://schemas.openxmlformats.org/officeDocument/2006/relationships/hyperlink" Target="https://github.com/chromaui/chromatic-e2e/pull/203" TargetMode="External"/><Relationship Id="rId610" Type="http://schemas.openxmlformats.org/officeDocument/2006/relationships/hyperlink" Target="https://github.com/homebound-team/beam/pull/61" TargetMode="External"/><Relationship Id="rId694" Type="http://schemas.openxmlformats.org/officeDocument/2006/relationships/hyperlink" Target="https://github.com/guardian/gateway/pull/791" TargetMode="External"/><Relationship Id="rId708" Type="http://schemas.openxmlformats.org/officeDocument/2006/relationships/hyperlink" Target="https://github.com/ntls-io/nautilus-wallet/pull/160" TargetMode="External"/><Relationship Id="rId915" Type="http://schemas.openxmlformats.org/officeDocument/2006/relationships/hyperlink" Target="https://github.com/storybookjs/storybook/pull/20359" TargetMode="External"/><Relationship Id="rId347" Type="http://schemas.openxmlformats.org/officeDocument/2006/relationships/hyperlink" Target="https://github.com/Esri/calcite-design-system/pull/9912" TargetMode="External"/><Relationship Id="rId999" Type="http://schemas.openxmlformats.org/officeDocument/2006/relationships/hyperlink" Target="https://github.com/Esri/calcite-design-system/pull/12595" TargetMode="External"/><Relationship Id="rId44" Type="http://schemas.openxmlformats.org/officeDocument/2006/relationships/hyperlink" Target="https://github.com/contentful/forma-36/pull/2436" TargetMode="External"/><Relationship Id="rId554" Type="http://schemas.openxmlformats.org/officeDocument/2006/relationships/hyperlink" Target="https://github.com/ntls-io/nautilus-wallet/pull/28" TargetMode="External"/><Relationship Id="rId761" Type="http://schemas.openxmlformats.org/officeDocument/2006/relationships/hyperlink" Target="https://github.com/GCTC-NTGC/gc-digital-talent/pull/2728" TargetMode="External"/><Relationship Id="rId859" Type="http://schemas.openxmlformats.org/officeDocument/2006/relationships/hyperlink" Target="https://github.com/WPMedia/arc-themes-blocks/pull/1386" TargetMode="External"/><Relationship Id="rId193" Type="http://schemas.openxmlformats.org/officeDocument/2006/relationships/hyperlink" Target="https://github.com/isomerpages/isomercms-frontend/pull/1396" TargetMode="External"/><Relationship Id="rId207" Type="http://schemas.openxmlformats.org/officeDocument/2006/relationships/hyperlink" Target="https://github.com/adobe/react-spectrum/pull/5705" TargetMode="External"/><Relationship Id="rId414" Type="http://schemas.openxmlformats.org/officeDocument/2006/relationships/hyperlink" Target="https://github.com/evidence-dev/evidence/pull/2511" TargetMode="External"/><Relationship Id="rId498" Type="http://schemas.openxmlformats.org/officeDocument/2006/relationships/hyperlink" Target="https://github.com/getappmap/appmap-js/pull/32" TargetMode="External"/><Relationship Id="rId621" Type="http://schemas.openxmlformats.org/officeDocument/2006/relationships/hyperlink" Target="https://github.com/WPMedia/arc-themes-blocks/pull/1092" TargetMode="External"/><Relationship Id="rId260" Type="http://schemas.openxmlformats.org/officeDocument/2006/relationships/hyperlink" Target="https://github.com/ethereum/ethereum-org-website/pull/12594" TargetMode="External"/><Relationship Id="rId719" Type="http://schemas.openxmlformats.org/officeDocument/2006/relationships/hyperlink" Target="https://github.com/metmuseum/marble/pull/185" TargetMode="External"/><Relationship Id="rId926" Type="http://schemas.openxmlformats.org/officeDocument/2006/relationships/hyperlink" Target="https://github.com/mswjs/msw-storybook-addon/pull/22" TargetMode="External"/><Relationship Id="rId55" Type="http://schemas.openxmlformats.org/officeDocument/2006/relationships/hyperlink" Target="https://github.com/homebound-team/beam/pull/900" TargetMode="External"/><Relationship Id="rId120" Type="http://schemas.openxmlformats.org/officeDocument/2006/relationships/hyperlink" Target="https://github.com/Esri/calcite-design-system/pull/7568" TargetMode="External"/><Relationship Id="rId358" Type="http://schemas.openxmlformats.org/officeDocument/2006/relationships/hyperlink" Target="https://github.com/NeurodataWithoutBorders/nwb-guide/pull/674" TargetMode="External"/><Relationship Id="rId565" Type="http://schemas.openxmlformats.org/officeDocument/2006/relationships/hyperlink" Target="https://github.com/department-of-veterans-affairs/component-library/pull/1487" TargetMode="External"/><Relationship Id="rId772" Type="http://schemas.openxmlformats.org/officeDocument/2006/relationships/hyperlink" Target="https://github.com/hackworthltd/primer-app/pull/213" TargetMode="External"/><Relationship Id="rId218" Type="http://schemas.openxmlformats.org/officeDocument/2006/relationships/hyperlink" Target="https://github.com/recharts/recharts/pull/4062" TargetMode="External"/><Relationship Id="rId425" Type="http://schemas.openxmlformats.org/officeDocument/2006/relationships/hyperlink" Target="https://github.com/Esri/calcite-design-system/pull/10621" TargetMode="External"/><Relationship Id="rId632" Type="http://schemas.openxmlformats.org/officeDocument/2006/relationships/hyperlink" Target="https://github.com/guardian/dotcom-rendering/pull/3519" TargetMode="External"/><Relationship Id="rId271" Type="http://schemas.openxmlformats.org/officeDocument/2006/relationships/hyperlink" Target="https://github.com/sbb-design-systems/lyne-components/pull/2255" TargetMode="External"/><Relationship Id="rId937" Type="http://schemas.openxmlformats.org/officeDocument/2006/relationships/hyperlink" Target="https://github.com/launchdarkly/launchpad-ui/pull/351" TargetMode="External"/><Relationship Id="rId66" Type="http://schemas.openxmlformats.org/officeDocument/2006/relationships/hyperlink" Target="https://github.com/forkfacts/forkfacts-v2/pull/26" TargetMode="External"/><Relationship Id="rId131" Type="http://schemas.openxmlformats.org/officeDocument/2006/relationships/hyperlink" Target="https://github.com/guardian/dotcom-rendering/pull/8478" TargetMode="External"/><Relationship Id="rId369" Type="http://schemas.openxmlformats.org/officeDocument/2006/relationships/hyperlink" Target="https://github.com/adobe/react-spectrum/pull/6965" TargetMode="External"/><Relationship Id="rId576" Type="http://schemas.openxmlformats.org/officeDocument/2006/relationships/hyperlink" Target="https://github.com/gravitee-io/gravitee-ui-components/pull/401" TargetMode="External"/><Relationship Id="rId783" Type="http://schemas.openxmlformats.org/officeDocument/2006/relationships/hyperlink" Target="https://github.com/ni/nimble/pull/609" TargetMode="External"/><Relationship Id="rId990" Type="http://schemas.openxmlformats.org/officeDocument/2006/relationships/hyperlink" Target="https://github.com/recharts/recharts/pull/6008" TargetMode="External"/><Relationship Id="rId229" Type="http://schemas.openxmlformats.org/officeDocument/2006/relationships/hyperlink" Target="https://github.com/bitwarden/clients/pull/6225" TargetMode="External"/><Relationship Id="rId436" Type="http://schemas.openxmlformats.org/officeDocument/2006/relationships/hyperlink" Target="https://github.com/gradio-app/gradio/pull/8851" TargetMode="External"/><Relationship Id="rId643" Type="http://schemas.openxmlformats.org/officeDocument/2006/relationships/hyperlink" Target="https://github.com/ntls-io/nautilus-wallet/pull/28" TargetMode="External"/><Relationship Id="rId850" Type="http://schemas.openxmlformats.org/officeDocument/2006/relationships/hyperlink" Target="https://github.com/GCTC-NTGC/gc-digital-talent/pull/2728" TargetMode="External"/><Relationship Id="rId948" Type="http://schemas.openxmlformats.org/officeDocument/2006/relationships/hyperlink" Target="https://github.com/Khan/wonder-blocks/pull/2508" TargetMode="External"/><Relationship Id="rId77" Type="http://schemas.openxmlformats.org/officeDocument/2006/relationships/hyperlink" Target="https://github.com/danskernesdigitalebibliotek/dpl-design-system/pull/239" TargetMode="External"/><Relationship Id="rId282" Type="http://schemas.openxmlformats.org/officeDocument/2006/relationships/hyperlink" Target="https://github.com/guardian/dotcom-rendering/pull/10864" TargetMode="External"/><Relationship Id="rId503" Type="http://schemas.openxmlformats.org/officeDocument/2006/relationships/hyperlink" Target="https://github.com/cultureamp/kaizen-design-system/pull/1053" TargetMode="External"/><Relationship Id="rId587" Type="http://schemas.openxmlformats.org/officeDocument/2006/relationships/hyperlink" Target="https://github.com/WPMedia/arc-themes-blocks/pull/1019" TargetMode="External"/><Relationship Id="rId710" Type="http://schemas.openxmlformats.org/officeDocument/2006/relationships/hyperlink" Target="https://github.com/chanzuckerberg/edu-design-system/pull/921" TargetMode="External"/><Relationship Id="rId808" Type="http://schemas.openxmlformats.org/officeDocument/2006/relationships/hyperlink" Target="https://github.com/metmuseum/marble/pull/185" TargetMode="External"/><Relationship Id="rId8" Type="http://schemas.openxmlformats.org/officeDocument/2006/relationships/hyperlink" Target="https://github.com/ni/nimble/pull/966" TargetMode="External"/><Relationship Id="rId142" Type="http://schemas.openxmlformats.org/officeDocument/2006/relationships/hyperlink" Target="https://github.com/coder/coder/pull/7210" TargetMode="External"/><Relationship Id="rId447" Type="http://schemas.openxmlformats.org/officeDocument/2006/relationships/hyperlink" Target="https://github.com/Khan/wonder-blocks/pull/2363" TargetMode="External"/><Relationship Id="rId794" Type="http://schemas.openxmlformats.org/officeDocument/2006/relationships/hyperlink" Target="https://github.com/WPMedia/arc-themes-blocks/pull/1411" TargetMode="External"/><Relationship Id="rId654" Type="http://schemas.openxmlformats.org/officeDocument/2006/relationships/hyperlink" Target="https://github.com/input-output-hk/daedalus/pull/2776" TargetMode="External"/><Relationship Id="rId861" Type="http://schemas.openxmlformats.org/officeDocument/2006/relationships/hyperlink" Target="https://github.com/chanzuckerberg/edu-design-system/pull/1322" TargetMode="External"/><Relationship Id="rId959" Type="http://schemas.openxmlformats.org/officeDocument/2006/relationships/hyperlink" Target="https://github.com/guardian/source/pull/1307" TargetMode="External"/><Relationship Id="rId293" Type="http://schemas.openxmlformats.org/officeDocument/2006/relationships/hyperlink" Target="https://github.com/coder/coder/pull/13031" TargetMode="External"/><Relationship Id="rId307" Type="http://schemas.openxmlformats.org/officeDocument/2006/relationships/hyperlink" Target="https://github.com/kufu/smarthr-ui/pull/4182" TargetMode="External"/><Relationship Id="rId514" Type="http://schemas.openxmlformats.org/officeDocument/2006/relationships/hyperlink" Target="https://github.com/VOICEVOX/voicevox/pull/2287" TargetMode="External"/><Relationship Id="rId721" Type="http://schemas.openxmlformats.org/officeDocument/2006/relationships/hyperlink" Target="https://github.com/guardian/dotcom-rendering/pull/3519" TargetMode="External"/><Relationship Id="rId88" Type="http://schemas.openxmlformats.org/officeDocument/2006/relationships/hyperlink" Target="https://github.com/ni/nimble/pull/966" TargetMode="External"/><Relationship Id="rId153" Type="http://schemas.openxmlformats.org/officeDocument/2006/relationships/hyperlink" Target="https://github.com/isomerpages/isomercms-frontend/pull/1620" TargetMode="External"/><Relationship Id="rId360" Type="http://schemas.openxmlformats.org/officeDocument/2006/relationships/hyperlink" Target="https://github.com/adobe/spectrum-css/pull/2929" TargetMode="External"/><Relationship Id="rId598" Type="http://schemas.openxmlformats.org/officeDocument/2006/relationships/hyperlink" Target="https://github.com/cultureamp/kaizen-design-system/pull/1218" TargetMode="External"/><Relationship Id="rId819" Type="http://schemas.openxmlformats.org/officeDocument/2006/relationships/hyperlink" Target="https://github.com/bitwarden/clients/pull/3372" TargetMode="External"/><Relationship Id="rId1004" Type="http://schemas.openxmlformats.org/officeDocument/2006/relationships/hyperlink" Target="https://github.com/coder/coder/pull/16020" TargetMode="External"/><Relationship Id="rId220" Type="http://schemas.openxmlformats.org/officeDocument/2006/relationships/hyperlink" Target="https://github.com/guardian/dotcom-rendering/pull/8633" TargetMode="External"/><Relationship Id="rId458" Type="http://schemas.openxmlformats.org/officeDocument/2006/relationships/hyperlink" Target="https://github.com/epicmaxco/vuestic-ui/pull/4451" TargetMode="External"/><Relationship Id="rId665" Type="http://schemas.openxmlformats.org/officeDocument/2006/relationships/hyperlink" Target="https://github.com/homebound-team/beam/pull/409" TargetMode="External"/><Relationship Id="rId872" Type="http://schemas.openxmlformats.org/officeDocument/2006/relationships/hyperlink" Target="https://github.com/cultureamp/kaizen-design-system/pull/3051" TargetMode="External"/><Relationship Id="rId15" Type="http://schemas.openxmlformats.org/officeDocument/2006/relationships/hyperlink" Target="https://github.com/GCTC-NTGC/gc-digital-talent/pull/5740" TargetMode="External"/><Relationship Id="rId318" Type="http://schemas.openxmlformats.org/officeDocument/2006/relationships/hyperlink" Target="https://github.com/danskernesdigitalebibliotek/dpl-design-system/pull/650" TargetMode="External"/><Relationship Id="rId525" Type="http://schemas.openxmlformats.org/officeDocument/2006/relationships/hyperlink" Target="https://github.com/metmuseum/marble/pull/121" TargetMode="External"/><Relationship Id="rId732" Type="http://schemas.openxmlformats.org/officeDocument/2006/relationships/hyperlink" Target="https://github.com/WPMedia/arc-themes-blocks/pull/1345" TargetMode="External"/><Relationship Id="rId99" Type="http://schemas.openxmlformats.org/officeDocument/2006/relationships/hyperlink" Target="https://github.com/Sage-Bionetworks/synapse-web-monorepo/pull/319" TargetMode="External"/><Relationship Id="rId164" Type="http://schemas.openxmlformats.org/officeDocument/2006/relationships/hyperlink" Target="https://github.com/Esri/calcite-design-system/pull/8066" TargetMode="External"/><Relationship Id="rId371" Type="http://schemas.openxmlformats.org/officeDocument/2006/relationships/hyperlink" Target="https://github.com/DouyinFE/semi-design/pull/2431" TargetMode="External"/><Relationship Id="rId1015" Type="http://schemas.openxmlformats.org/officeDocument/2006/relationships/hyperlink" Target="https://github.com/coder/coder/pull/19753" TargetMode="External"/><Relationship Id="rId469" Type="http://schemas.openxmlformats.org/officeDocument/2006/relationships/hyperlink" Target="https://github.com/sl-design-system/components/pull/1454" TargetMode="External"/><Relationship Id="rId676" Type="http://schemas.openxmlformats.org/officeDocument/2006/relationships/hyperlink" Target="https://github.com/WPMedia/arc-themes-blocks/pull/1019" TargetMode="External"/><Relationship Id="rId883" Type="http://schemas.openxmlformats.org/officeDocument/2006/relationships/hyperlink" Target="https://github.com/WPMedia/arc-themes-blocks/pull/1411" TargetMode="External"/><Relationship Id="rId26" Type="http://schemas.openxmlformats.org/officeDocument/2006/relationships/hyperlink" Target="https://github.com/guardian/dotcom-rendering/pull/7128" TargetMode="External"/><Relationship Id="rId231" Type="http://schemas.openxmlformats.org/officeDocument/2006/relationships/hyperlink" Target="https://github.com/NeurodataWithoutBorders/nwb-guide/pull/555" TargetMode="External"/><Relationship Id="rId329" Type="http://schemas.openxmlformats.org/officeDocument/2006/relationships/hyperlink" Target="https://github.com/ni/nimble/pull/2167" TargetMode="External"/><Relationship Id="rId536" Type="http://schemas.openxmlformats.org/officeDocument/2006/relationships/hyperlink" Target="https://github.com/storybookjs/storybook/pull/14820" TargetMode="External"/><Relationship Id="rId175" Type="http://schemas.openxmlformats.org/officeDocument/2006/relationships/hyperlink" Target="https://github.com/ni/nimble/pull/1335" TargetMode="External"/><Relationship Id="rId743" Type="http://schemas.openxmlformats.org/officeDocument/2006/relationships/hyperlink" Target="https://github.com/adobe/react-spectrum/pull/3132" TargetMode="External"/><Relationship Id="rId950" Type="http://schemas.openxmlformats.org/officeDocument/2006/relationships/hyperlink" Target="https://github.com/ni/nimble/pull/260" TargetMode="External"/><Relationship Id="rId382" Type="http://schemas.openxmlformats.org/officeDocument/2006/relationships/hyperlink" Target="https://github.com/kufu/smarthr-ui/pull/4626" TargetMode="External"/><Relationship Id="rId603" Type="http://schemas.openxmlformats.org/officeDocument/2006/relationships/hyperlink" Target="https://github.com/guardian/gateway/pull/791" TargetMode="External"/><Relationship Id="rId687" Type="http://schemas.openxmlformats.org/officeDocument/2006/relationships/hyperlink" Target="https://github.com/hackworthltd/primer-app/pull/213" TargetMode="External"/><Relationship Id="rId810" Type="http://schemas.openxmlformats.org/officeDocument/2006/relationships/hyperlink" Target="https://github.com/WPMedia/arc-themes-components/pull/121" TargetMode="External"/><Relationship Id="rId908" Type="http://schemas.openxmlformats.org/officeDocument/2006/relationships/hyperlink" Target="https://github.com/wellcomecollection/wellcomecollection.org/pull/8945" TargetMode="External"/><Relationship Id="rId242" Type="http://schemas.openxmlformats.org/officeDocument/2006/relationships/hyperlink" Target="https://github.com/adobe/react-spectrum/pull/5941" TargetMode="External"/><Relationship Id="rId894" Type="http://schemas.openxmlformats.org/officeDocument/2006/relationships/hyperlink" Target="https://github.com/storybookjs/storybook/pull/19952" TargetMode="External"/><Relationship Id="rId37" Type="http://schemas.openxmlformats.org/officeDocument/2006/relationships/hyperlink" Target="https://github.com/hackworthltd/primer-app/pull/332" TargetMode="External"/><Relationship Id="rId102" Type="http://schemas.openxmlformats.org/officeDocument/2006/relationships/hyperlink" Target="https://github.com/chromaui/addon-visual-tests/pull/22" TargetMode="External"/><Relationship Id="rId547" Type="http://schemas.openxmlformats.org/officeDocument/2006/relationships/hyperlink" Target="https://github.com/epicmaxco/vuestic-ui/pull/4451" TargetMode="External"/><Relationship Id="rId754" Type="http://schemas.openxmlformats.org/officeDocument/2006/relationships/hyperlink" Target="https://github.com/homebound-team/beam/pull/409" TargetMode="External"/><Relationship Id="rId961" Type="http://schemas.openxmlformats.org/officeDocument/2006/relationships/hyperlink" Target="https://github.com/chanzuckerberg/edu-design-system/pull/1346" TargetMode="External"/><Relationship Id="rId90" Type="http://schemas.openxmlformats.org/officeDocument/2006/relationships/hyperlink" Target="https://github.com/contentful/forma-36/pull/2498" TargetMode="External"/><Relationship Id="rId186" Type="http://schemas.openxmlformats.org/officeDocument/2006/relationships/hyperlink" Target="https://github.com/GCTC-NTGC/gc-digital-talent/pull/8405" TargetMode="External"/><Relationship Id="rId393" Type="http://schemas.openxmlformats.org/officeDocument/2006/relationships/hyperlink" Target="https://github.com/guardian/dotcom-rendering/pull/12062" TargetMode="External"/><Relationship Id="rId407" Type="http://schemas.openxmlformats.org/officeDocument/2006/relationships/hyperlink" Target="https://github.com/nl-design-system/rijkshuisstijl-community/pull/620" TargetMode="External"/><Relationship Id="rId614" Type="http://schemas.openxmlformats.org/officeDocument/2006/relationships/hyperlink" Target="https://github.com/eisbuk/EisBuk/pull/183" TargetMode="External"/><Relationship Id="rId821" Type="http://schemas.openxmlformats.org/officeDocument/2006/relationships/hyperlink" Target="https://github.com/WPMedia/arc-themes-blocks/pull/1481" TargetMode="External"/><Relationship Id="rId253" Type="http://schemas.openxmlformats.org/officeDocument/2006/relationships/hyperlink" Target="https://github.com/kufu/smarthr-ui/pull/3975" TargetMode="External"/><Relationship Id="rId460" Type="http://schemas.openxmlformats.org/officeDocument/2006/relationships/hyperlink" Target="https://github.com/kufu/smarthr-ui/pull/4821" TargetMode="External"/><Relationship Id="rId698" Type="http://schemas.openxmlformats.org/officeDocument/2006/relationships/hyperlink" Target="https://github.com/chanzuckerberg/edu-design-system/pull/893" TargetMode="External"/><Relationship Id="rId919" Type="http://schemas.openxmlformats.org/officeDocument/2006/relationships/hyperlink" Target="https://github.com/WPMedia/arc-themes-blocks/pull/1462" TargetMode="External"/><Relationship Id="rId48" Type="http://schemas.openxmlformats.org/officeDocument/2006/relationships/hyperlink" Target="https://github.com/contentful/forma-36/pull/2436" TargetMode="External"/><Relationship Id="rId113" Type="http://schemas.openxmlformats.org/officeDocument/2006/relationships/hyperlink" Target="https://github.com/isomerpages/isomercms-frontend/pull/1396" TargetMode="External"/><Relationship Id="rId320" Type="http://schemas.openxmlformats.org/officeDocument/2006/relationships/hyperlink" Target="https://github.com/recharts/recharts/pull/4542" TargetMode="External"/><Relationship Id="rId558" Type="http://schemas.openxmlformats.org/officeDocument/2006/relationships/hyperlink" Target="https://github.com/ntls-io/nautilus-wallet/pull/28" TargetMode="External"/><Relationship Id="rId765" Type="http://schemas.openxmlformats.org/officeDocument/2006/relationships/hyperlink" Target="https://github.com/guardian/dotcom-rendering/pull/5128" TargetMode="External"/><Relationship Id="rId972" Type="http://schemas.openxmlformats.org/officeDocument/2006/relationships/hyperlink" Target="https://github.com/nodejs/nodejs.org/pull/7754" TargetMode="External"/><Relationship Id="rId197" Type="http://schemas.openxmlformats.org/officeDocument/2006/relationships/hyperlink" Target="https://github.com/adobe/spectrum-css/pull/2424" TargetMode="External"/><Relationship Id="rId418" Type="http://schemas.openxmlformats.org/officeDocument/2006/relationships/hyperlink" Target="https://github.com/Sage/carbon/pull/6795" TargetMode="External"/><Relationship Id="rId625" Type="http://schemas.openxmlformats.org/officeDocument/2006/relationships/hyperlink" Target="https://github.com/storybookjs/storybook/pull/14820" TargetMode="External"/><Relationship Id="rId832" Type="http://schemas.openxmlformats.org/officeDocument/2006/relationships/hyperlink" Target="https://github.com/adobe/react-spectrum/pull/3132" TargetMode="External"/><Relationship Id="rId264" Type="http://schemas.openxmlformats.org/officeDocument/2006/relationships/hyperlink" Target="https://github.com/kufu/smarthr-ui/pull/4479" TargetMode="External"/><Relationship Id="rId471" Type="http://schemas.openxmlformats.org/officeDocument/2006/relationships/hyperlink" Target="https://github.com/Khan/wonder-blocks/pull/2441" TargetMode="External"/><Relationship Id="rId59" Type="http://schemas.openxmlformats.org/officeDocument/2006/relationships/hyperlink" Target="https://github.com/coder/coder/pull/7210" TargetMode="External"/><Relationship Id="rId124" Type="http://schemas.openxmlformats.org/officeDocument/2006/relationships/hyperlink" Target="https://github.com/contentful/forma-36/pull/2436" TargetMode="External"/><Relationship Id="rId569" Type="http://schemas.openxmlformats.org/officeDocument/2006/relationships/hyperlink" Target="https://github.com/storybookjs/storybook/pull/15556" TargetMode="External"/><Relationship Id="rId776" Type="http://schemas.openxmlformats.org/officeDocument/2006/relationships/hyperlink" Target="https://github.com/WPMedia/arc-themes-blocks/pull/1386" TargetMode="External"/><Relationship Id="rId983" Type="http://schemas.openxmlformats.org/officeDocument/2006/relationships/hyperlink" Target="https://github.com/backstage/backstage/pull/21482" TargetMode="External"/><Relationship Id="rId331" Type="http://schemas.openxmlformats.org/officeDocument/2006/relationships/hyperlink" Target="https://github.com/kufu/smarthr-ui/pull/4302" TargetMode="External"/><Relationship Id="rId429" Type="http://schemas.openxmlformats.org/officeDocument/2006/relationships/hyperlink" Target="https://github.com/VOICEVOX/voicevox/pull/2287" TargetMode="External"/><Relationship Id="rId636" Type="http://schemas.openxmlformats.org/officeDocument/2006/relationships/hyperlink" Target="https://github.com/hackworthltd/primer-app/pull/112" TargetMode="External"/><Relationship Id="rId843" Type="http://schemas.openxmlformats.org/officeDocument/2006/relationships/hyperlink" Target="https://github.com/launchdarkly/launchpad-ui/pull/351" TargetMode="External"/><Relationship Id="rId275" Type="http://schemas.openxmlformats.org/officeDocument/2006/relationships/hyperlink" Target="https://github.com/chromaui/chromatic-docs/pull/400" TargetMode="External"/><Relationship Id="rId482" Type="http://schemas.openxmlformats.org/officeDocument/2006/relationships/hyperlink" Target="https://github.com/curology/radiance-ui/pull/642" TargetMode="External"/><Relationship Id="rId703" Type="http://schemas.openxmlformats.org/officeDocument/2006/relationships/hyperlink" Target="https://github.com/eisbuk/EisBuk/pull/183" TargetMode="External"/><Relationship Id="rId910" Type="http://schemas.openxmlformats.org/officeDocument/2006/relationships/hyperlink" Target="https://github.com/WPMedia/arc-themes-blocks/pull/1481" TargetMode="External"/><Relationship Id="rId135" Type="http://schemas.openxmlformats.org/officeDocument/2006/relationships/hyperlink" Target="https://github.com/guardian/dotcom-rendering/pull/8478" TargetMode="External"/><Relationship Id="rId342" Type="http://schemas.openxmlformats.org/officeDocument/2006/relationships/hyperlink" Target="https://github.com/ni/nimble/pull/2189" TargetMode="External"/><Relationship Id="rId787" Type="http://schemas.openxmlformats.org/officeDocument/2006/relationships/hyperlink" Target="https://github.com/chanzuckerberg/edu-design-system/pull/893" TargetMode="External"/><Relationship Id="rId994" Type="http://schemas.openxmlformats.org/officeDocument/2006/relationships/hyperlink" Target="https://github.com/sbb-design-systems/lyne-components/pull/1461" TargetMode="External"/><Relationship Id="rId202" Type="http://schemas.openxmlformats.org/officeDocument/2006/relationships/hyperlink" Target="https://github.com/epicmaxco/vuestic-ui/pull/3729" TargetMode="External"/><Relationship Id="rId647" Type="http://schemas.openxmlformats.org/officeDocument/2006/relationships/hyperlink" Target="https://github.com/cultureamp/kaizen-design-system/pull/2300" TargetMode="External"/><Relationship Id="rId854" Type="http://schemas.openxmlformats.org/officeDocument/2006/relationships/hyperlink" Target="https://github.com/storybookjs/components-marketing/pull/35" TargetMode="External"/><Relationship Id="rId286" Type="http://schemas.openxmlformats.org/officeDocument/2006/relationships/hyperlink" Target="https://github.com/adobe/react-spectrum/pull/5705" TargetMode="External"/><Relationship Id="rId493" Type="http://schemas.openxmlformats.org/officeDocument/2006/relationships/hyperlink" Target="https://github.com/gradio-app/gradio/pull/9260" TargetMode="External"/><Relationship Id="rId507" Type="http://schemas.openxmlformats.org/officeDocument/2006/relationships/hyperlink" Target="https://github.com/CruGlobal/mpdx-react/pull/25" TargetMode="External"/><Relationship Id="rId714" Type="http://schemas.openxmlformats.org/officeDocument/2006/relationships/hyperlink" Target="https://github.com/lena1687/react-game-project/pull/1" TargetMode="External"/><Relationship Id="rId921" Type="http://schemas.openxmlformats.org/officeDocument/2006/relationships/hyperlink" Target="https://github.com/chanzuckerberg/edu-design-system/pull/1440" TargetMode="External"/><Relationship Id="rId50" Type="http://schemas.openxmlformats.org/officeDocument/2006/relationships/hyperlink" Target="https://github.com/contentful/forma-36/pull/2430" TargetMode="External"/><Relationship Id="rId146" Type="http://schemas.openxmlformats.org/officeDocument/2006/relationships/hyperlink" Target="https://github.com/storybookjs/storybook/pull/24146" TargetMode="External"/><Relationship Id="rId353" Type="http://schemas.openxmlformats.org/officeDocument/2006/relationships/hyperlink" Target="https://github.com/gradio-app/gradio/pull/8851" TargetMode="External"/><Relationship Id="rId560" Type="http://schemas.openxmlformats.org/officeDocument/2006/relationships/hyperlink" Target="https://github.com/ntls-io/nautilus-wallet/pull/23" TargetMode="External"/><Relationship Id="rId798" Type="http://schemas.openxmlformats.org/officeDocument/2006/relationships/hyperlink" Target="https://github.com/WPMedia/arc-themes-components/pull/116" TargetMode="External"/><Relationship Id="rId213" Type="http://schemas.openxmlformats.org/officeDocument/2006/relationships/hyperlink" Target="https://github.com/adobe/react-spectrum/pull/5705" TargetMode="External"/><Relationship Id="rId420" Type="http://schemas.openxmlformats.org/officeDocument/2006/relationships/hyperlink" Target="https://github.com/guardian/dotcom-rendering/pull/12298" TargetMode="External"/><Relationship Id="rId658" Type="http://schemas.openxmlformats.org/officeDocument/2006/relationships/hyperlink" Target="https://github.com/storybookjs/storybook/pull/15556" TargetMode="External"/><Relationship Id="rId865" Type="http://schemas.openxmlformats.org/officeDocument/2006/relationships/hyperlink" Target="https://github.com/WPMedia/arc-themes-blocks/pull/1386" TargetMode="External"/><Relationship Id="rId297" Type="http://schemas.openxmlformats.org/officeDocument/2006/relationships/hyperlink" Target="https://github.com/recharts/recharts/pull/4441" TargetMode="External"/><Relationship Id="rId518" Type="http://schemas.openxmlformats.org/officeDocument/2006/relationships/hyperlink" Target="https://github.com/storybookjs/storybook/pull/14172" TargetMode="External"/><Relationship Id="rId725" Type="http://schemas.openxmlformats.org/officeDocument/2006/relationships/hyperlink" Target="https://github.com/WPMedia/arc-themes-blocks/pull/1347" TargetMode="External"/><Relationship Id="rId932" Type="http://schemas.openxmlformats.org/officeDocument/2006/relationships/hyperlink" Target="https://github.com/storybookjs/storybook/pull/15080" TargetMode="External"/><Relationship Id="rId157" Type="http://schemas.openxmlformats.org/officeDocument/2006/relationships/hyperlink" Target="https://github.com/danskernesdigitalebibliotek/dpl-design-system/pull/239" TargetMode="External"/><Relationship Id="rId364" Type="http://schemas.openxmlformats.org/officeDocument/2006/relationships/hyperlink" Target="https://github.com/wellcomecollection/wellcomecollection.org/pull/10792" TargetMode="External"/><Relationship Id="rId1008" Type="http://schemas.openxmlformats.org/officeDocument/2006/relationships/hyperlink" Target="https://github.com/storybookjs/storybook/pull/20359" TargetMode="External"/><Relationship Id="rId61" Type="http://schemas.openxmlformats.org/officeDocument/2006/relationships/hyperlink" Target="https://github.com/coder/coder/pull/11609" TargetMode="External"/><Relationship Id="rId571" Type="http://schemas.openxmlformats.org/officeDocument/2006/relationships/hyperlink" Target="https://github.com/curology/radiance-ui/pull/642" TargetMode="External"/><Relationship Id="rId669" Type="http://schemas.openxmlformats.org/officeDocument/2006/relationships/hyperlink" Target="https://github.com/homebound-team/beam/pull/409" TargetMode="External"/><Relationship Id="rId876" Type="http://schemas.openxmlformats.org/officeDocument/2006/relationships/hyperlink" Target="https://github.com/coder/coder/pull/4810" TargetMode="External"/><Relationship Id="rId19" Type="http://schemas.openxmlformats.org/officeDocument/2006/relationships/hyperlink" Target="https://github.com/adobe/react-spectrum/pull/2515" TargetMode="External"/><Relationship Id="rId224" Type="http://schemas.openxmlformats.org/officeDocument/2006/relationships/hyperlink" Target="https://github.com/Esri/calcite-design-system/pull/8561" TargetMode="External"/><Relationship Id="rId431" Type="http://schemas.openxmlformats.org/officeDocument/2006/relationships/hyperlink" Target="https://github.com/Longhorn-Developers/UT-Registration-Plus/pull/425" TargetMode="External"/><Relationship Id="rId529" Type="http://schemas.openxmlformats.org/officeDocument/2006/relationships/hyperlink" Target="https://github.com/kufu/smarthr-ui/pull/5091" TargetMode="External"/><Relationship Id="rId736" Type="http://schemas.openxmlformats.org/officeDocument/2006/relationships/hyperlink" Target="https://github.com/cultureamp/kaizen-design-system/pull/2300" TargetMode="External"/><Relationship Id="rId168" Type="http://schemas.openxmlformats.org/officeDocument/2006/relationships/hyperlink" Target="https://github.com/navikt/aksel/pull/2395" TargetMode="External"/><Relationship Id="rId943" Type="http://schemas.openxmlformats.org/officeDocument/2006/relationships/hyperlink" Target="https://github.com/dpc-sdp/ripple-framework/pull/224" TargetMode="External"/><Relationship Id="rId1019" Type="http://schemas.openxmlformats.org/officeDocument/2006/relationships/hyperlink" Target="https://github.com/Khan/wonder-blocks/pull/2786" TargetMode="External"/><Relationship Id="rId72" Type="http://schemas.openxmlformats.org/officeDocument/2006/relationships/hyperlink" Target="https://github.com/ForgeRock/forgerock-web-login-framework/pull/121" TargetMode="External"/><Relationship Id="rId375" Type="http://schemas.openxmlformats.org/officeDocument/2006/relationships/hyperlink" Target="https://github.com/evidence-dev/evidence/pull/2317" TargetMode="External"/><Relationship Id="rId582" Type="http://schemas.openxmlformats.org/officeDocument/2006/relationships/hyperlink" Target="https://github.com/sberdevices/plasma/pull/676" TargetMode="External"/><Relationship Id="rId803" Type="http://schemas.openxmlformats.org/officeDocument/2006/relationships/hyperlink" Target="https://github.com/coder/coder/pull/3189" TargetMode="External"/><Relationship Id="rId3" Type="http://schemas.openxmlformats.org/officeDocument/2006/relationships/hyperlink" Target="https://github.com/storybookjs/storybook/pull/20712" TargetMode="External"/><Relationship Id="rId235" Type="http://schemas.openxmlformats.org/officeDocument/2006/relationships/hyperlink" Target="https://github.com/Esri/calcite-design-system/pull/8055" TargetMode="External"/><Relationship Id="rId442" Type="http://schemas.openxmlformats.org/officeDocument/2006/relationships/hyperlink" Target="https://github.com/adobe/spectrum-css/pull/2929" TargetMode="External"/><Relationship Id="rId887" Type="http://schemas.openxmlformats.org/officeDocument/2006/relationships/hyperlink" Target="https://github.com/iterative/vscode-dvc/pull/2850" TargetMode="External"/><Relationship Id="rId302" Type="http://schemas.openxmlformats.org/officeDocument/2006/relationships/hyperlink" Target="https://github.com/kufu/smarthr-ui/pull/4626" TargetMode="External"/><Relationship Id="rId747" Type="http://schemas.openxmlformats.org/officeDocument/2006/relationships/hyperlink" Target="https://github.com/coder/coder/pull/1574" TargetMode="External"/><Relationship Id="rId954" Type="http://schemas.openxmlformats.org/officeDocument/2006/relationships/hyperlink" Target="https://github.com/nl-design-system/denhaag/pull/1709" TargetMode="External"/><Relationship Id="rId83" Type="http://schemas.openxmlformats.org/officeDocument/2006/relationships/hyperlink" Target="https://github.com/input-output-hk/lace/pull/128" TargetMode="External"/><Relationship Id="rId179" Type="http://schemas.openxmlformats.org/officeDocument/2006/relationships/hyperlink" Target="https://github.com/guardian/support-frontend/pull/5429" TargetMode="External"/><Relationship Id="rId386" Type="http://schemas.openxmlformats.org/officeDocument/2006/relationships/hyperlink" Target="https://github.com/sl-design-system/components/pull/1454" TargetMode="External"/><Relationship Id="rId593" Type="http://schemas.openxmlformats.org/officeDocument/2006/relationships/hyperlink" Target="https://github.com/WPMedia/arc-themes-blocks/pull/1062" TargetMode="External"/><Relationship Id="rId607" Type="http://schemas.openxmlformats.org/officeDocument/2006/relationships/hyperlink" Target="https://github.com/storybookjs/storybook/pull/14172" TargetMode="External"/><Relationship Id="rId814" Type="http://schemas.openxmlformats.org/officeDocument/2006/relationships/hyperlink" Target="https://github.com/WPMedia/arc-themes-blocks/pull/1347" TargetMode="External"/><Relationship Id="rId246" Type="http://schemas.openxmlformats.org/officeDocument/2006/relationships/hyperlink" Target="https://github.com/department-of-veterans-affairs/component-library/pull/1073" TargetMode="External"/><Relationship Id="rId453" Type="http://schemas.openxmlformats.org/officeDocument/2006/relationships/hyperlink" Target="https://github.com/fortanix/baklava/pull/54" TargetMode="External"/><Relationship Id="rId660" Type="http://schemas.openxmlformats.org/officeDocument/2006/relationships/hyperlink" Target="https://github.com/titicacadev/triple-frontend/pull/1754" TargetMode="External"/><Relationship Id="rId898" Type="http://schemas.openxmlformats.org/officeDocument/2006/relationships/hyperlink" Target="https://github.com/WPMedia/arc-themes-components/pull/121" TargetMode="External"/><Relationship Id="rId106" Type="http://schemas.openxmlformats.org/officeDocument/2006/relationships/hyperlink" Target="https://github.com/guardian/dotcom-rendering/pull/7128" TargetMode="External"/><Relationship Id="rId313" Type="http://schemas.openxmlformats.org/officeDocument/2006/relationships/hyperlink" Target="https://github.com/storybookjs/storybook/pull/25460" TargetMode="External"/><Relationship Id="rId758" Type="http://schemas.openxmlformats.org/officeDocument/2006/relationships/hyperlink" Target="https://github.com/GCTC-NTGC/gc-digital-talent/pull/2728" TargetMode="External"/><Relationship Id="rId965" Type="http://schemas.openxmlformats.org/officeDocument/2006/relationships/hyperlink" Target="https://github.com/jpmorganchase/salt-ds/pull/154" TargetMode="External"/><Relationship Id="rId10" Type="http://schemas.openxmlformats.org/officeDocument/2006/relationships/hyperlink" Target="https://github.com/storybookjs/storybook/pull/15080" TargetMode="External"/><Relationship Id="rId94" Type="http://schemas.openxmlformats.org/officeDocument/2006/relationships/hyperlink" Target="https://github.com/GCTC-NTGC/gc-digital-talent/pull/5740" TargetMode="External"/><Relationship Id="rId397" Type="http://schemas.openxmlformats.org/officeDocument/2006/relationships/hyperlink" Target="https://github.com/danskernesdigitalebibliotek/dpl-design-system/pull/650" TargetMode="External"/><Relationship Id="rId520" Type="http://schemas.openxmlformats.org/officeDocument/2006/relationships/hyperlink" Target="https://github.com/Sage/carbon/pull/7091" TargetMode="External"/><Relationship Id="rId618" Type="http://schemas.openxmlformats.org/officeDocument/2006/relationships/hyperlink" Target="https://github.com/WPMedia/arc-themes-blocks/pull/1092" TargetMode="External"/><Relationship Id="rId825" Type="http://schemas.openxmlformats.org/officeDocument/2006/relationships/hyperlink" Target="https://github.com/WPMedia/arc-themes-blocks/pull/1481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recharts/recharts/pull/4795" TargetMode="External"/><Relationship Id="rId299" Type="http://schemas.openxmlformats.org/officeDocument/2006/relationships/hyperlink" Target="https://github.com/ni/nimble/pull/834" TargetMode="External"/><Relationship Id="rId21" Type="http://schemas.openxmlformats.org/officeDocument/2006/relationships/hyperlink" Target="https://github.com/coder/coder/pull/7210" TargetMode="External"/><Relationship Id="rId63" Type="http://schemas.openxmlformats.org/officeDocument/2006/relationships/hyperlink" Target="https://github.com/daydule/frontend/pull/71" TargetMode="External"/><Relationship Id="rId159" Type="http://schemas.openxmlformats.org/officeDocument/2006/relationships/hyperlink" Target="https://github.com/department-of-veterans-affairs/component-library/pull/1487" TargetMode="External"/><Relationship Id="rId324" Type="http://schemas.openxmlformats.org/officeDocument/2006/relationships/hyperlink" Target="https://github.com/nodejs/nodejs.org/pull/7754" TargetMode="External"/><Relationship Id="rId170" Type="http://schemas.openxmlformats.org/officeDocument/2006/relationships/hyperlink" Target="https://github.com/cultureamp/kaizen-design-system/pull/1218" TargetMode="External"/><Relationship Id="rId226" Type="http://schemas.openxmlformats.org/officeDocument/2006/relationships/hyperlink" Target="https://github.com/guardian/dotcom-rendering/pull/3724" TargetMode="External"/><Relationship Id="rId268" Type="http://schemas.openxmlformats.org/officeDocument/2006/relationships/hyperlink" Target="https://github.com/coder/coder/pull/3189" TargetMode="External"/><Relationship Id="rId32" Type="http://schemas.openxmlformats.org/officeDocument/2006/relationships/hyperlink" Target="https://github.com/ni/nimble/pull/1335" TargetMode="External"/><Relationship Id="rId74" Type="http://schemas.openxmlformats.org/officeDocument/2006/relationships/hyperlink" Target="https://github.com/Esri/calcite-design-system/pull/8561" TargetMode="External"/><Relationship Id="rId128" Type="http://schemas.openxmlformats.org/officeDocument/2006/relationships/hyperlink" Target="https://github.com/evidence-dev/evidence/pull/2436" TargetMode="External"/><Relationship Id="rId335" Type="http://schemas.openxmlformats.org/officeDocument/2006/relationships/hyperlink" Target="https://github.com/Khan/perseus/pull/2728" TargetMode="External"/><Relationship Id="rId5" Type="http://schemas.openxmlformats.org/officeDocument/2006/relationships/hyperlink" Target="https://github.com/GCTC-NTGC/gc-digital-talent/pull/5740" TargetMode="External"/><Relationship Id="rId181" Type="http://schemas.openxmlformats.org/officeDocument/2006/relationships/hyperlink" Target="https://github.com/adobe/react-spectrum/pull/2057" TargetMode="External"/><Relationship Id="rId237" Type="http://schemas.openxmlformats.org/officeDocument/2006/relationships/hyperlink" Target="https://github.com/chanzuckerberg/edu-design-system/pull/921" TargetMode="External"/><Relationship Id="rId279" Type="http://schemas.openxmlformats.org/officeDocument/2006/relationships/hyperlink" Target="https://github.com/razorpay/blade/pull/634" TargetMode="External"/><Relationship Id="rId43" Type="http://schemas.openxmlformats.org/officeDocument/2006/relationships/hyperlink" Target="https://github.com/solid-design-system/solid/pull/318" TargetMode="External"/><Relationship Id="rId139" Type="http://schemas.openxmlformats.org/officeDocument/2006/relationships/hyperlink" Target="https://github.com/guardian/dotcom-rendering/pull/12298" TargetMode="External"/><Relationship Id="rId290" Type="http://schemas.openxmlformats.org/officeDocument/2006/relationships/hyperlink" Target="https://github.com/chanzuckerberg/edu-design-system/pull/1346" TargetMode="External"/><Relationship Id="rId304" Type="http://schemas.openxmlformats.org/officeDocument/2006/relationships/hyperlink" Target="https://github.com/DouyinFE/semi-design/pull/1317" TargetMode="External"/><Relationship Id="rId85" Type="http://schemas.openxmlformats.org/officeDocument/2006/relationships/hyperlink" Target="https://github.com/storybookjs/storybook/pull/26254" TargetMode="External"/><Relationship Id="rId150" Type="http://schemas.openxmlformats.org/officeDocument/2006/relationships/hyperlink" Target="https://github.com/fortanix/baklava/pull/54" TargetMode="External"/><Relationship Id="rId192" Type="http://schemas.openxmlformats.org/officeDocument/2006/relationships/hyperlink" Target="https://github.com/gravitee-io/gravitee-ui-components/pull/401" TargetMode="External"/><Relationship Id="rId206" Type="http://schemas.openxmlformats.org/officeDocument/2006/relationships/hyperlink" Target="https://github.com/WPMedia/arc-themes-blocks/pull/1092" TargetMode="External"/><Relationship Id="rId248" Type="http://schemas.openxmlformats.org/officeDocument/2006/relationships/hyperlink" Target="https://github.com/adobe/react-spectrum/pull/3132" TargetMode="External"/><Relationship Id="rId12" Type="http://schemas.openxmlformats.org/officeDocument/2006/relationships/hyperlink" Target="https://github.com/NeurodataWithoutBorders/nwb-guide/pull/74" TargetMode="External"/><Relationship Id="rId108" Type="http://schemas.openxmlformats.org/officeDocument/2006/relationships/hyperlink" Target="https://github.com/misskey-dev/misskey/pull/13779" TargetMode="External"/><Relationship Id="rId315" Type="http://schemas.openxmlformats.org/officeDocument/2006/relationships/hyperlink" Target="https://github.com/Khan/wonder-blocks/pull/2508" TargetMode="External"/><Relationship Id="rId54" Type="http://schemas.openxmlformats.org/officeDocument/2006/relationships/hyperlink" Target="https://github.com/recharts/recharts/pull/3908" TargetMode="External"/><Relationship Id="rId96" Type="http://schemas.openxmlformats.org/officeDocument/2006/relationships/hyperlink" Target="https://github.com/ethereum/ethereum-org-website/pull/12639" TargetMode="External"/><Relationship Id="rId161" Type="http://schemas.openxmlformats.org/officeDocument/2006/relationships/hyperlink" Target="https://github.com/curology/radiance-ui/pull/642" TargetMode="External"/><Relationship Id="rId217" Type="http://schemas.openxmlformats.org/officeDocument/2006/relationships/hyperlink" Target="https://github.com/dpc-sdp/ripple/pull/1111" TargetMode="External"/><Relationship Id="rId259" Type="http://schemas.openxmlformats.org/officeDocument/2006/relationships/hyperlink" Target="https://github.com/WPMedia/arc-themes-blocks/pull/1386" TargetMode="External"/><Relationship Id="rId23" Type="http://schemas.openxmlformats.org/officeDocument/2006/relationships/hyperlink" Target="https://github.com/storybookjs/storybook/pull/22336" TargetMode="External"/><Relationship Id="rId119" Type="http://schemas.openxmlformats.org/officeDocument/2006/relationships/hyperlink" Target="https://github.com/ni/nimble/pull/2315" TargetMode="External"/><Relationship Id="rId270" Type="http://schemas.openxmlformats.org/officeDocument/2006/relationships/hyperlink" Target="https://github.com/WPMedia/arc-themes-components/pull/121" TargetMode="External"/><Relationship Id="rId326" Type="http://schemas.openxmlformats.org/officeDocument/2006/relationships/hyperlink" Target="https://github.com/storacha/bluesky-backup-webapp-server/pull/171" TargetMode="External"/><Relationship Id="rId65" Type="http://schemas.openxmlformats.org/officeDocument/2006/relationships/hyperlink" Target="https://github.com/guardian/dotcom-rendering/pull/9792" TargetMode="External"/><Relationship Id="rId130" Type="http://schemas.openxmlformats.org/officeDocument/2006/relationships/hyperlink" Target="https://github.com/Khan/wonder-blocks/pull/2309" TargetMode="External"/><Relationship Id="rId172" Type="http://schemas.openxmlformats.org/officeDocument/2006/relationships/hyperlink" Target="https://github.com/storybookjs/storybook/pull/14251" TargetMode="External"/><Relationship Id="rId228" Type="http://schemas.openxmlformats.org/officeDocument/2006/relationships/hyperlink" Target="https://github.com/hackworthltd/primer-app/pull/213" TargetMode="External"/><Relationship Id="rId281" Type="http://schemas.openxmlformats.org/officeDocument/2006/relationships/hyperlink" Target="https://github.com/launchdarkly/launchpad-ui/pull/351" TargetMode="External"/><Relationship Id="rId337" Type="http://schemas.openxmlformats.org/officeDocument/2006/relationships/hyperlink" Target="https://github.com/Khan/wonder-blocks/pull/2715" TargetMode="External"/><Relationship Id="rId34" Type="http://schemas.openxmlformats.org/officeDocument/2006/relationships/hyperlink" Target="https://github.com/chromaui/addon-visual-tests/pull/22" TargetMode="External"/><Relationship Id="rId76" Type="http://schemas.openxmlformats.org/officeDocument/2006/relationships/hyperlink" Target="https://github.com/kufu/smarthr-ui/pull/4182" TargetMode="External"/><Relationship Id="rId141" Type="http://schemas.openxmlformats.org/officeDocument/2006/relationships/hyperlink" Target="https://github.com/adobe/react-spectrum/pull/7284" TargetMode="External"/><Relationship Id="rId7" Type="http://schemas.openxmlformats.org/officeDocument/2006/relationships/hyperlink" Target="https://github.com/guardian/dotcom-rendering/pull/7128" TargetMode="External"/><Relationship Id="rId183" Type="http://schemas.openxmlformats.org/officeDocument/2006/relationships/hyperlink" Target="https://github.com/getappmap/appmap-js/pull/255" TargetMode="External"/><Relationship Id="rId239" Type="http://schemas.openxmlformats.org/officeDocument/2006/relationships/hyperlink" Target="https://github.com/curology/radiance-ui/pull/1470" TargetMode="External"/><Relationship Id="rId250" Type="http://schemas.openxmlformats.org/officeDocument/2006/relationships/hyperlink" Target="https://github.com/WPMedia/arc-themes-blocks/pull/1365" TargetMode="External"/><Relationship Id="rId292" Type="http://schemas.openxmlformats.org/officeDocument/2006/relationships/hyperlink" Target="https://github.com/coder/coder/pull/4810" TargetMode="External"/><Relationship Id="rId306" Type="http://schemas.openxmlformats.org/officeDocument/2006/relationships/hyperlink" Target="https://github.com/ni/nimble/pull/927" TargetMode="External"/><Relationship Id="rId45" Type="http://schemas.openxmlformats.org/officeDocument/2006/relationships/hyperlink" Target="https://github.com/guardian/dotcom-rendering/pull/8478" TargetMode="External"/><Relationship Id="rId87" Type="http://schemas.openxmlformats.org/officeDocument/2006/relationships/hyperlink" Target="https://github.com/ethereum/ethereum-org-website/pull/12594" TargetMode="External"/><Relationship Id="rId110" Type="http://schemas.openxmlformats.org/officeDocument/2006/relationships/hyperlink" Target="https://github.com/ni/nimble/pull/2167" TargetMode="External"/><Relationship Id="rId152" Type="http://schemas.openxmlformats.org/officeDocument/2006/relationships/hyperlink" Target="https://github.com/ithaka/pharos/pull/862" TargetMode="External"/><Relationship Id="rId194" Type="http://schemas.openxmlformats.org/officeDocument/2006/relationships/hyperlink" Target="https://github.com/sberdevices/plasma/pull/676" TargetMode="External"/><Relationship Id="rId208" Type="http://schemas.openxmlformats.org/officeDocument/2006/relationships/hyperlink" Target="https://github.com/storybookjs/storybook/pull/16178" TargetMode="External"/><Relationship Id="rId240" Type="http://schemas.openxmlformats.org/officeDocument/2006/relationships/hyperlink" Target="https://github.com/metmuseum/marble/pull/185" TargetMode="External"/><Relationship Id="rId261" Type="http://schemas.openxmlformats.org/officeDocument/2006/relationships/hyperlink" Target="https://github.com/ni/nimble/pull/609" TargetMode="External"/><Relationship Id="rId14" Type="http://schemas.openxmlformats.org/officeDocument/2006/relationships/hyperlink" Target="https://github.com/seek-oss/braid-design-system/pull/1240" TargetMode="External"/><Relationship Id="rId35" Type="http://schemas.openxmlformats.org/officeDocument/2006/relationships/hyperlink" Target="https://github.com/contentful/forma-36/pull/2520" TargetMode="External"/><Relationship Id="rId56" Type="http://schemas.openxmlformats.org/officeDocument/2006/relationships/hyperlink" Target="https://github.com/navikt/aksel/pull/2395" TargetMode="External"/><Relationship Id="rId77" Type="http://schemas.openxmlformats.org/officeDocument/2006/relationships/hyperlink" Target="https://github.com/NeurodataWithoutBorders/nwb-guide/pull/555" TargetMode="External"/><Relationship Id="rId100" Type="http://schemas.openxmlformats.org/officeDocument/2006/relationships/hyperlink" Target="https://github.com/appsmithorg/appsmith/pull/32857" TargetMode="External"/><Relationship Id="rId282" Type="http://schemas.openxmlformats.org/officeDocument/2006/relationships/hyperlink" Target="https://github.com/storybookjs/storybook/pull/19189" TargetMode="External"/><Relationship Id="rId317" Type="http://schemas.openxmlformats.org/officeDocument/2006/relationships/hyperlink" Target="https://github.com/ory/elements/pull/371" TargetMode="External"/><Relationship Id="rId338" Type="http://schemas.openxmlformats.org/officeDocument/2006/relationships/hyperlink" Target="https://github.com/Khan/wonder-blocks/pull/2766" TargetMode="External"/><Relationship Id="rId8" Type="http://schemas.openxmlformats.org/officeDocument/2006/relationships/hyperlink" Target="https://github.com/guardian/dotcom-rendering/pull/7128" TargetMode="External"/><Relationship Id="rId98" Type="http://schemas.openxmlformats.org/officeDocument/2006/relationships/hyperlink" Target="https://github.com/coder/coder/pull/13031" TargetMode="External"/><Relationship Id="rId121" Type="http://schemas.openxmlformats.org/officeDocument/2006/relationships/hyperlink" Target="https://github.com/sillsdev/web-xforge/pull/2557" TargetMode="External"/><Relationship Id="rId142" Type="http://schemas.openxmlformats.org/officeDocument/2006/relationships/hyperlink" Target="https://github.com/Esri/calcite-design-system/pull/10621" TargetMode="External"/><Relationship Id="rId163" Type="http://schemas.openxmlformats.org/officeDocument/2006/relationships/hyperlink" Target="https://github.com/storybookjs/storybook/pull/13685" TargetMode="External"/><Relationship Id="rId184" Type="http://schemas.openxmlformats.org/officeDocument/2006/relationships/hyperlink" Target="https://github.com/microsoft/iot-cardboard-js/pull/78" TargetMode="External"/><Relationship Id="rId219" Type="http://schemas.openxmlformats.org/officeDocument/2006/relationships/hyperlink" Target="https://github.com/titicacadev/triple-frontend/pull/1762" TargetMode="External"/><Relationship Id="rId230" Type="http://schemas.openxmlformats.org/officeDocument/2006/relationships/hyperlink" Target="https://github.com/guardian/dotcom-rendering/pull/3823" TargetMode="External"/><Relationship Id="rId251" Type="http://schemas.openxmlformats.org/officeDocument/2006/relationships/hyperlink" Target="https://github.com/chanzuckerberg/edu-design-system/pull/1083" TargetMode="External"/><Relationship Id="rId25" Type="http://schemas.openxmlformats.org/officeDocument/2006/relationships/hyperlink" Target="https://github.com/ForgeRock/forgerock-web-login-framework/pull/121" TargetMode="External"/><Relationship Id="rId46" Type="http://schemas.openxmlformats.org/officeDocument/2006/relationships/hyperlink" Target="https://github.com/adobe/react-spectrum/pull/4972" TargetMode="External"/><Relationship Id="rId67" Type="http://schemas.openxmlformats.org/officeDocument/2006/relationships/hyperlink" Target="https://github.com/AmazeeLabs/silverback-template/pull/132" TargetMode="External"/><Relationship Id="rId272" Type="http://schemas.openxmlformats.org/officeDocument/2006/relationships/hyperlink" Target="https://github.com/guardian/dotcom-rendering/pull/5529" TargetMode="External"/><Relationship Id="rId293" Type="http://schemas.openxmlformats.org/officeDocument/2006/relationships/hyperlink" Target="https://github.com/guardian/dotcom-rendering/pull/6258" TargetMode="External"/><Relationship Id="rId307" Type="http://schemas.openxmlformats.org/officeDocument/2006/relationships/hyperlink" Target="https://github.com/chanzuckerberg/edu-design-system/pull/1440" TargetMode="External"/><Relationship Id="rId328" Type="http://schemas.openxmlformats.org/officeDocument/2006/relationships/hyperlink" Target="https://github.com/Khan/wonder-blocks/pull/2602" TargetMode="External"/><Relationship Id="rId88" Type="http://schemas.openxmlformats.org/officeDocument/2006/relationships/hyperlink" Target="https://github.com/kufu/smarthr-ui/pull/4479" TargetMode="External"/><Relationship Id="rId111" Type="http://schemas.openxmlformats.org/officeDocument/2006/relationships/hyperlink" Target="https://github.com/ni/nimble/pull/2167" TargetMode="External"/><Relationship Id="rId132" Type="http://schemas.openxmlformats.org/officeDocument/2006/relationships/hyperlink" Target="https://github.com/chromaui/chromatic-e2e/pull/207" TargetMode="External"/><Relationship Id="rId153" Type="http://schemas.openxmlformats.org/officeDocument/2006/relationships/hyperlink" Target="https://github.com/epicmaxco/vuestic-ui/pull/4451" TargetMode="External"/><Relationship Id="rId174" Type="http://schemas.openxmlformats.org/officeDocument/2006/relationships/hyperlink" Target="https://github.com/homebound-team/beam/pull/61" TargetMode="External"/><Relationship Id="rId195" Type="http://schemas.openxmlformats.org/officeDocument/2006/relationships/hyperlink" Target="https://github.com/sberdevices/plasma/pull/676" TargetMode="External"/><Relationship Id="rId209" Type="http://schemas.openxmlformats.org/officeDocument/2006/relationships/hyperlink" Target="https://github.com/BBC-archive/psammead/pull/4548" TargetMode="External"/><Relationship Id="rId220" Type="http://schemas.openxmlformats.org/officeDocument/2006/relationships/hyperlink" Target="https://github.com/titicacadev/triple-frontend/pull/1754" TargetMode="External"/><Relationship Id="rId241" Type="http://schemas.openxmlformats.org/officeDocument/2006/relationships/hyperlink" Target="https://github.com/coder/coder/pull/981" TargetMode="External"/><Relationship Id="rId15" Type="http://schemas.openxmlformats.org/officeDocument/2006/relationships/hyperlink" Target="https://github.com/contentful/forma-36/pull/2436" TargetMode="External"/><Relationship Id="rId36" Type="http://schemas.openxmlformats.org/officeDocument/2006/relationships/hyperlink" Target="https://github.com/isomerpages/isomercms-frontend/pull/1398" TargetMode="External"/><Relationship Id="rId57" Type="http://schemas.openxmlformats.org/officeDocument/2006/relationships/hyperlink" Target="https://github.com/storybookjs/storybook/pull/24395" TargetMode="External"/><Relationship Id="rId262" Type="http://schemas.openxmlformats.org/officeDocument/2006/relationships/hyperlink" Target="https://github.com/homebound-team/beam/pull/550" TargetMode="External"/><Relationship Id="rId283" Type="http://schemas.openxmlformats.org/officeDocument/2006/relationships/hyperlink" Target="https://github.com/dpc-sdp/ripple-framework/pull/224" TargetMode="External"/><Relationship Id="rId318" Type="http://schemas.openxmlformats.org/officeDocument/2006/relationships/hyperlink" Target="https://github.com/nl-design-system/denhaag/pull/1709" TargetMode="External"/><Relationship Id="rId339" Type="http://schemas.openxmlformats.org/officeDocument/2006/relationships/hyperlink" Target="https://github.com/Khan/wonder-blocks/pull/2758" TargetMode="External"/><Relationship Id="rId78" Type="http://schemas.openxmlformats.org/officeDocument/2006/relationships/hyperlink" Target="https://github.com/storybookjs/storybook/pull/25460" TargetMode="External"/><Relationship Id="rId99" Type="http://schemas.openxmlformats.org/officeDocument/2006/relationships/hyperlink" Target="https://github.com/recharts/recharts/pull/4441" TargetMode="External"/><Relationship Id="rId101" Type="http://schemas.openxmlformats.org/officeDocument/2006/relationships/hyperlink" Target="https://github.com/kufu/smarthr-ui/pull/4626" TargetMode="External"/><Relationship Id="rId122" Type="http://schemas.openxmlformats.org/officeDocument/2006/relationships/hyperlink" Target="https://github.com/Esri/calcite-design-system/pull/9969" TargetMode="External"/><Relationship Id="rId143" Type="http://schemas.openxmlformats.org/officeDocument/2006/relationships/hyperlink" Target="https://github.com/VOICEVOX/voicevox/pull/2287" TargetMode="External"/><Relationship Id="rId164" Type="http://schemas.openxmlformats.org/officeDocument/2006/relationships/hyperlink" Target="https://github.com/contentful/forma-36/pull/757" TargetMode="External"/><Relationship Id="rId185" Type="http://schemas.openxmlformats.org/officeDocument/2006/relationships/hyperlink" Target="https://github.com/ntls-io/nautilus-wallet/pull/28" TargetMode="External"/><Relationship Id="rId9" Type="http://schemas.openxmlformats.org/officeDocument/2006/relationships/hyperlink" Target="https://github.com/guardian/dotcom-rendering/pull/7128" TargetMode="External"/><Relationship Id="rId210" Type="http://schemas.openxmlformats.org/officeDocument/2006/relationships/hyperlink" Target="https://github.com/proeco/proeco-client/pull/147" TargetMode="External"/><Relationship Id="rId26" Type="http://schemas.openxmlformats.org/officeDocument/2006/relationships/hyperlink" Target="https://github.com/danskernesdigitalebibliotek/dpl-design-system/pull/239" TargetMode="External"/><Relationship Id="rId231" Type="http://schemas.openxmlformats.org/officeDocument/2006/relationships/hyperlink" Target="https://github.com/guardian/dotcom-rendering/pull/3988" TargetMode="External"/><Relationship Id="rId252" Type="http://schemas.openxmlformats.org/officeDocument/2006/relationships/hyperlink" Target="https://github.com/GCTC-NTGC/gc-digital-talent/pull/2728" TargetMode="External"/><Relationship Id="rId273" Type="http://schemas.openxmlformats.org/officeDocument/2006/relationships/hyperlink" Target="https://github.com/bitwarden/clients/pull/3372" TargetMode="External"/><Relationship Id="rId294" Type="http://schemas.openxmlformats.org/officeDocument/2006/relationships/hyperlink" Target="https://github.com/guardian/dotcom-rendering/pull/6235" TargetMode="External"/><Relationship Id="rId308" Type="http://schemas.openxmlformats.org/officeDocument/2006/relationships/hyperlink" Target="https://github.com/chanzuckerberg/edu-design-system/pull/1440" TargetMode="External"/><Relationship Id="rId329" Type="http://schemas.openxmlformats.org/officeDocument/2006/relationships/hyperlink" Target="https://github.com/Khan/wonder-blocks/pull/2600" TargetMode="External"/><Relationship Id="rId47" Type="http://schemas.openxmlformats.org/officeDocument/2006/relationships/hyperlink" Target="https://github.com/guardian/dotcom-rendering/pull/8633" TargetMode="External"/><Relationship Id="rId68" Type="http://schemas.openxmlformats.org/officeDocument/2006/relationships/hyperlink" Target="https://github.com/AmazeeLabs/silverback-template/pull/132" TargetMode="External"/><Relationship Id="rId89" Type="http://schemas.openxmlformats.org/officeDocument/2006/relationships/hyperlink" Target="https://github.com/danskernesdigitalebibliotek/dpl-design-system/pull/542" TargetMode="External"/><Relationship Id="rId112" Type="http://schemas.openxmlformats.org/officeDocument/2006/relationships/hyperlink" Target="https://github.com/Sage/carbon/pull/6795" TargetMode="External"/><Relationship Id="rId133" Type="http://schemas.openxmlformats.org/officeDocument/2006/relationships/hyperlink" Target="https://github.com/chromaui/chromatic-e2e/pull/207" TargetMode="External"/><Relationship Id="rId154" Type="http://schemas.openxmlformats.org/officeDocument/2006/relationships/hyperlink" Target="https://github.com/coder/coder/pull/16134" TargetMode="External"/><Relationship Id="rId175" Type="http://schemas.openxmlformats.org/officeDocument/2006/relationships/hyperlink" Target="https://github.com/metmuseum/marble/pull/121" TargetMode="External"/><Relationship Id="rId340" Type="http://schemas.openxmlformats.org/officeDocument/2006/relationships/hyperlink" Target="https://github.com/coder/coder/pull/19753" TargetMode="External"/><Relationship Id="rId196" Type="http://schemas.openxmlformats.org/officeDocument/2006/relationships/hyperlink" Target="https://github.com/WPMedia/arc-themes-blocks/pull/1019" TargetMode="External"/><Relationship Id="rId200" Type="http://schemas.openxmlformats.org/officeDocument/2006/relationships/hyperlink" Target="https://github.com/guardian/gateway/pull/791" TargetMode="External"/><Relationship Id="rId16" Type="http://schemas.openxmlformats.org/officeDocument/2006/relationships/hyperlink" Target="https://github.com/contentful/forma-36/pull/2436" TargetMode="External"/><Relationship Id="rId221" Type="http://schemas.openxmlformats.org/officeDocument/2006/relationships/hyperlink" Target="https://github.com/titicacadev/triple-frontend/pull/1754" TargetMode="External"/><Relationship Id="rId242" Type="http://schemas.openxmlformats.org/officeDocument/2006/relationships/hyperlink" Target="https://github.com/WPMedia/arc-themes-blocks/pull/1347" TargetMode="External"/><Relationship Id="rId263" Type="http://schemas.openxmlformats.org/officeDocument/2006/relationships/hyperlink" Target="https://github.com/WPMedia/arc-themes-blocks/pull/1411" TargetMode="External"/><Relationship Id="rId284" Type="http://schemas.openxmlformats.org/officeDocument/2006/relationships/hyperlink" Target="https://github.com/GCTC-NTGC/gc-digital-talent/pull/3865" TargetMode="External"/><Relationship Id="rId319" Type="http://schemas.openxmlformats.org/officeDocument/2006/relationships/hyperlink" Target="https://github.com/adobe/spectrum-css/pull/3593" TargetMode="External"/><Relationship Id="rId37" Type="http://schemas.openxmlformats.org/officeDocument/2006/relationships/hyperlink" Target="https://github.com/isomerpages/isomercms-frontend/pull/1435" TargetMode="External"/><Relationship Id="rId58" Type="http://schemas.openxmlformats.org/officeDocument/2006/relationships/hyperlink" Target="https://github.com/kufu/smarthr-ui/pull/3975" TargetMode="External"/><Relationship Id="rId79" Type="http://schemas.openxmlformats.org/officeDocument/2006/relationships/hyperlink" Target="https://github.com/ni/nimble/pull/1791" TargetMode="External"/><Relationship Id="rId102" Type="http://schemas.openxmlformats.org/officeDocument/2006/relationships/hyperlink" Target="https://github.com/misskey-dev/misskey/pull/13830" TargetMode="External"/><Relationship Id="rId123" Type="http://schemas.openxmlformats.org/officeDocument/2006/relationships/hyperlink" Target="https://github.com/adobe/react-spectrum/pull/6965" TargetMode="External"/><Relationship Id="rId144" Type="http://schemas.openxmlformats.org/officeDocument/2006/relationships/hyperlink" Target="https://github.com/Longhorn-Developers/UT-Registration-Plus/pull/425" TargetMode="External"/><Relationship Id="rId330" Type="http://schemas.openxmlformats.org/officeDocument/2006/relationships/hyperlink" Target="https://github.com/recharts/recharts/pull/6008" TargetMode="External"/><Relationship Id="rId90" Type="http://schemas.openxmlformats.org/officeDocument/2006/relationships/hyperlink" Target="https://github.com/navikt/aksel/pull/2795" TargetMode="External"/><Relationship Id="rId165" Type="http://schemas.openxmlformats.org/officeDocument/2006/relationships/hyperlink" Target="https://github.com/contentful/forma-36/pull/757" TargetMode="External"/><Relationship Id="rId186" Type="http://schemas.openxmlformats.org/officeDocument/2006/relationships/hyperlink" Target="https://github.com/ntls-io/nautilus-wallet/pull/28" TargetMode="External"/><Relationship Id="rId211" Type="http://schemas.openxmlformats.org/officeDocument/2006/relationships/hyperlink" Target="https://github.com/guardian/dotcom-rendering/pull/3519" TargetMode="External"/><Relationship Id="rId232" Type="http://schemas.openxmlformats.org/officeDocument/2006/relationships/hyperlink" Target="https://github.com/guardian/dotcom-rendering/pull/3897" TargetMode="External"/><Relationship Id="rId253" Type="http://schemas.openxmlformats.org/officeDocument/2006/relationships/hyperlink" Target="https://github.com/GCTC-NTGC/gc-digital-talent/pull/2728" TargetMode="External"/><Relationship Id="rId274" Type="http://schemas.openxmlformats.org/officeDocument/2006/relationships/hyperlink" Target="https://github.com/WPMedia/arc-themes-blocks/pull/1481" TargetMode="External"/><Relationship Id="rId295" Type="http://schemas.openxmlformats.org/officeDocument/2006/relationships/hyperlink" Target="https://github.com/Trendyol/baklava/pull/327" TargetMode="External"/><Relationship Id="rId309" Type="http://schemas.openxmlformats.org/officeDocument/2006/relationships/hyperlink" Target="https://github.com/serendie/serendie/pull/28" TargetMode="External"/><Relationship Id="rId27" Type="http://schemas.openxmlformats.org/officeDocument/2006/relationships/hyperlink" Target="https://github.com/NeurodataWithoutBorders/nwb-guide/pull/219" TargetMode="External"/><Relationship Id="rId48" Type="http://schemas.openxmlformats.org/officeDocument/2006/relationships/hyperlink" Target="https://github.com/chromaui/addon-visual-tests/pull/69" TargetMode="External"/><Relationship Id="rId69" Type="http://schemas.openxmlformats.org/officeDocument/2006/relationships/hyperlink" Target="https://github.com/adobe/react-spectrum/pull/5705" TargetMode="External"/><Relationship Id="rId113" Type="http://schemas.openxmlformats.org/officeDocument/2006/relationships/hyperlink" Target="https://github.com/jpmorganchase/salt-ds/pull/3551" TargetMode="External"/><Relationship Id="rId134" Type="http://schemas.openxmlformats.org/officeDocument/2006/relationships/hyperlink" Target="https://github.com/Esri/calcite-design-system/pull/10343" TargetMode="External"/><Relationship Id="rId320" Type="http://schemas.openxmlformats.org/officeDocument/2006/relationships/hyperlink" Target="https://github.com/nodejs/nodejs.org/pull/7638" TargetMode="External"/><Relationship Id="rId80" Type="http://schemas.openxmlformats.org/officeDocument/2006/relationships/hyperlink" Target="https://github.com/danskernesdigitalebibliotek/dpl-design-system/pull/518" TargetMode="External"/><Relationship Id="rId155" Type="http://schemas.openxmlformats.org/officeDocument/2006/relationships/hyperlink" Target="https://github.com/kufu/smarthr-ui/pull/5307" TargetMode="External"/><Relationship Id="rId176" Type="http://schemas.openxmlformats.org/officeDocument/2006/relationships/hyperlink" Target="https://github.com/storybookjs/storybook/pull/15059" TargetMode="External"/><Relationship Id="rId197" Type="http://schemas.openxmlformats.org/officeDocument/2006/relationships/hyperlink" Target="https://github.com/WPMedia/arc-themes-blocks/pull/1019" TargetMode="External"/><Relationship Id="rId341" Type="http://schemas.openxmlformats.org/officeDocument/2006/relationships/hyperlink" Target="https://github.com/adobe/react-spectrum/pull/8893" TargetMode="External"/><Relationship Id="rId201" Type="http://schemas.openxmlformats.org/officeDocument/2006/relationships/hyperlink" Target="https://github.com/guardian/gateway/pull/791" TargetMode="External"/><Relationship Id="rId222" Type="http://schemas.openxmlformats.org/officeDocument/2006/relationships/hyperlink" Target="https://github.com/homebound-team/beam/pull/409" TargetMode="External"/><Relationship Id="rId243" Type="http://schemas.openxmlformats.org/officeDocument/2006/relationships/hyperlink" Target="https://github.com/WPMedia/arc-themes-blocks/pull/1345" TargetMode="External"/><Relationship Id="rId264" Type="http://schemas.openxmlformats.org/officeDocument/2006/relationships/hyperlink" Target="https://github.com/WPMedia/arc-themes-blocks/pull/1411" TargetMode="External"/><Relationship Id="rId285" Type="http://schemas.openxmlformats.org/officeDocument/2006/relationships/hyperlink" Target="https://github.com/storybookjs/components-marketing/pull/35" TargetMode="External"/><Relationship Id="rId17" Type="http://schemas.openxmlformats.org/officeDocument/2006/relationships/hyperlink" Target="https://github.com/contentful/forma-36/pull/2430" TargetMode="External"/><Relationship Id="rId38" Type="http://schemas.openxmlformats.org/officeDocument/2006/relationships/hyperlink" Target="https://github.com/isomerpages/isomercms-frontend/pull/1396" TargetMode="External"/><Relationship Id="rId59" Type="http://schemas.openxmlformats.org/officeDocument/2006/relationships/hyperlink" Target="https://github.com/kufu/smarthr-ui/pull/3975" TargetMode="External"/><Relationship Id="rId103" Type="http://schemas.openxmlformats.org/officeDocument/2006/relationships/hyperlink" Target="https://github.com/cloudblue/connect-ui-toolkit/pull/92" TargetMode="External"/><Relationship Id="rId124" Type="http://schemas.openxmlformats.org/officeDocument/2006/relationships/hyperlink" Target="https://github.com/DouyinFE/semi-design/pull/2431" TargetMode="External"/><Relationship Id="rId310" Type="http://schemas.openxmlformats.org/officeDocument/2006/relationships/hyperlink" Target="https://github.com/opengovsg/isomer/pull/1144" TargetMode="External"/><Relationship Id="rId70" Type="http://schemas.openxmlformats.org/officeDocument/2006/relationships/hyperlink" Target="https://github.com/adobe/react-spectrum/pull/5705" TargetMode="External"/><Relationship Id="rId91" Type="http://schemas.openxmlformats.org/officeDocument/2006/relationships/hyperlink" Target="https://github.com/Crystal-Creations-GbR/crystal-components/pull/70" TargetMode="External"/><Relationship Id="rId145" Type="http://schemas.openxmlformats.org/officeDocument/2006/relationships/hyperlink" Target="https://github.com/Sage/carbon/pull/7091" TargetMode="External"/><Relationship Id="rId166" Type="http://schemas.openxmlformats.org/officeDocument/2006/relationships/hyperlink" Target="https://github.com/getappmap/appmap-js/pull/32" TargetMode="External"/><Relationship Id="rId187" Type="http://schemas.openxmlformats.org/officeDocument/2006/relationships/hyperlink" Target="https://github.com/ntls-io/nautilus-wallet/pull/23" TargetMode="External"/><Relationship Id="rId331" Type="http://schemas.openxmlformats.org/officeDocument/2006/relationships/hyperlink" Target="https://github.com/Khan/wonder-blocks/pull/2661" TargetMode="External"/><Relationship Id="rId1" Type="http://schemas.openxmlformats.org/officeDocument/2006/relationships/hyperlink" Target="https://github.com/storybookjs/storybook/pull/20712" TargetMode="External"/><Relationship Id="rId212" Type="http://schemas.openxmlformats.org/officeDocument/2006/relationships/hyperlink" Target="https://github.com/hackworthltd/primer-app/pull/112" TargetMode="External"/><Relationship Id="rId233" Type="http://schemas.openxmlformats.org/officeDocument/2006/relationships/hyperlink" Target="https://github.com/chanzuckerberg/edu-design-system/pull/893" TargetMode="External"/><Relationship Id="rId254" Type="http://schemas.openxmlformats.org/officeDocument/2006/relationships/hyperlink" Target="https://github.com/GCTC-NTGC/gc-digital-talent/pull/2728" TargetMode="External"/><Relationship Id="rId28" Type="http://schemas.openxmlformats.org/officeDocument/2006/relationships/hyperlink" Target="https://github.com/input-output-hk/lace/pull/128" TargetMode="External"/><Relationship Id="rId49" Type="http://schemas.openxmlformats.org/officeDocument/2006/relationships/hyperlink" Target="https://github.com/storybookjs/storybook/pull/24146" TargetMode="External"/><Relationship Id="rId114" Type="http://schemas.openxmlformats.org/officeDocument/2006/relationships/hyperlink" Target="https://github.com/ni/nimble/pull/2189" TargetMode="External"/><Relationship Id="rId275" Type="http://schemas.openxmlformats.org/officeDocument/2006/relationships/hyperlink" Target="https://github.com/WPMedia/arc-themes-blocks/pull/1481" TargetMode="External"/><Relationship Id="rId296" Type="http://schemas.openxmlformats.org/officeDocument/2006/relationships/hyperlink" Target="https://github.com/iterative/vscode-dvc/pull/2850" TargetMode="External"/><Relationship Id="rId300" Type="http://schemas.openxmlformats.org/officeDocument/2006/relationships/hyperlink" Target="https://github.com/sbb-design-systems/lyne-components/pull/1461" TargetMode="External"/><Relationship Id="rId60" Type="http://schemas.openxmlformats.org/officeDocument/2006/relationships/hyperlink" Target="https://github.com/guardian/support-frontend/pull/5429" TargetMode="External"/><Relationship Id="rId81" Type="http://schemas.openxmlformats.org/officeDocument/2006/relationships/hyperlink" Target="https://github.com/adobe/react-spectrum/pull/5941" TargetMode="External"/><Relationship Id="rId135" Type="http://schemas.openxmlformats.org/officeDocument/2006/relationships/hyperlink" Target="https://github.com/chromaui/chromatic-e2e/pull/203" TargetMode="External"/><Relationship Id="rId156" Type="http://schemas.openxmlformats.org/officeDocument/2006/relationships/hyperlink" Target="https://github.com/Esri/calcite-design-system/pull/11215" TargetMode="External"/><Relationship Id="rId177" Type="http://schemas.openxmlformats.org/officeDocument/2006/relationships/hyperlink" Target="https://github.com/ithaka/pharos/pull/36" TargetMode="External"/><Relationship Id="rId198" Type="http://schemas.openxmlformats.org/officeDocument/2006/relationships/hyperlink" Target="https://github.com/WPMedia/arc-themes-blocks/pull/1062" TargetMode="External"/><Relationship Id="rId321" Type="http://schemas.openxmlformats.org/officeDocument/2006/relationships/hyperlink" Target="https://github.com/Khan/wonder-blocks/pull/2563" TargetMode="External"/><Relationship Id="rId342" Type="http://schemas.openxmlformats.org/officeDocument/2006/relationships/hyperlink" Target="https://github.com/opengovsg/isomer/pull/1585" TargetMode="External"/><Relationship Id="rId202" Type="http://schemas.openxmlformats.org/officeDocument/2006/relationships/hyperlink" Target="https://github.com/guardian/gateway/pull/791" TargetMode="External"/><Relationship Id="rId223" Type="http://schemas.openxmlformats.org/officeDocument/2006/relationships/hyperlink" Target="https://github.com/homebound-team/beam/pull/409" TargetMode="External"/><Relationship Id="rId244" Type="http://schemas.openxmlformats.org/officeDocument/2006/relationships/hyperlink" Target="https://github.com/WPMedia/arc-themes-blocks/pull/1345" TargetMode="External"/><Relationship Id="rId18" Type="http://schemas.openxmlformats.org/officeDocument/2006/relationships/hyperlink" Target="https://github.com/sbb-design-systems/lyne-components/pull/1691" TargetMode="External"/><Relationship Id="rId39" Type="http://schemas.openxmlformats.org/officeDocument/2006/relationships/hyperlink" Target="https://github.com/Esri/calcite-design-system/pull/7568" TargetMode="External"/><Relationship Id="rId265" Type="http://schemas.openxmlformats.org/officeDocument/2006/relationships/hyperlink" Target="https://github.com/WPMedia/arc-themes-blocks/pull/1411" TargetMode="External"/><Relationship Id="rId286" Type="http://schemas.openxmlformats.org/officeDocument/2006/relationships/hyperlink" Target="https://github.com/storybookjs/storybook/pull/19181" TargetMode="External"/><Relationship Id="rId50" Type="http://schemas.openxmlformats.org/officeDocument/2006/relationships/hyperlink" Target="https://github.com/bitwarden/clients/pull/6225" TargetMode="External"/><Relationship Id="rId104" Type="http://schemas.openxmlformats.org/officeDocument/2006/relationships/hyperlink" Target="https://github.com/cloudblue/connect-ui-toolkit/pull/92" TargetMode="External"/><Relationship Id="rId125" Type="http://schemas.openxmlformats.org/officeDocument/2006/relationships/hyperlink" Target="https://github.com/evidence-dev/evidence/pull/2317" TargetMode="External"/><Relationship Id="rId146" Type="http://schemas.openxmlformats.org/officeDocument/2006/relationships/hyperlink" Target="https://github.com/Esri/calcite-design-system/pull/10820" TargetMode="External"/><Relationship Id="rId167" Type="http://schemas.openxmlformats.org/officeDocument/2006/relationships/hyperlink" Target="https://github.com/cultureamp/kaizen-design-system/pull/1053" TargetMode="External"/><Relationship Id="rId188" Type="http://schemas.openxmlformats.org/officeDocument/2006/relationships/hyperlink" Target="https://github.com/cultureamp/kaizen-design-system/pull/1800" TargetMode="External"/><Relationship Id="rId311" Type="http://schemas.openxmlformats.org/officeDocument/2006/relationships/hyperlink" Target="https://github.com/department-of-veterans-affairs/component-library/pull/1487" TargetMode="External"/><Relationship Id="rId332" Type="http://schemas.openxmlformats.org/officeDocument/2006/relationships/hyperlink" Target="https://github.com/coder/coder/pull/18445" TargetMode="External"/><Relationship Id="rId71" Type="http://schemas.openxmlformats.org/officeDocument/2006/relationships/hyperlink" Target="https://github.com/adobe/react-spectrum/pull/5705" TargetMode="External"/><Relationship Id="rId92" Type="http://schemas.openxmlformats.org/officeDocument/2006/relationships/hyperlink" Target="https://github.com/chromaui/chromatic-docs/pull/400" TargetMode="External"/><Relationship Id="rId213" Type="http://schemas.openxmlformats.org/officeDocument/2006/relationships/hyperlink" Target="https://github.com/ntls-io/nautilus-wallet/pull/136" TargetMode="External"/><Relationship Id="rId234" Type="http://schemas.openxmlformats.org/officeDocument/2006/relationships/hyperlink" Target="https://github.com/guardian/gateway/pull/1575" TargetMode="External"/><Relationship Id="rId2" Type="http://schemas.openxmlformats.org/officeDocument/2006/relationships/hyperlink" Target="https://github.com/storybookjs/storybook/pull/20712" TargetMode="External"/><Relationship Id="rId29" Type="http://schemas.openxmlformats.org/officeDocument/2006/relationships/hyperlink" Target="https://github.com/input-output-hk/lace/pull/128" TargetMode="External"/><Relationship Id="rId255" Type="http://schemas.openxmlformats.org/officeDocument/2006/relationships/hyperlink" Target="https://github.com/guardian/dotcom-rendering/pull/5128" TargetMode="External"/><Relationship Id="rId276" Type="http://schemas.openxmlformats.org/officeDocument/2006/relationships/hyperlink" Target="https://github.com/WPMedia/arc-themes-blocks/pull/1462" TargetMode="External"/><Relationship Id="rId297" Type="http://schemas.openxmlformats.org/officeDocument/2006/relationships/hyperlink" Target="https://github.com/WPMedia/arc-themes-blocks/pull/1556" TargetMode="External"/><Relationship Id="rId40" Type="http://schemas.openxmlformats.org/officeDocument/2006/relationships/hyperlink" Target="https://github.com/Esri/calcite-design-system/pull/7568" TargetMode="External"/><Relationship Id="rId115" Type="http://schemas.openxmlformats.org/officeDocument/2006/relationships/hyperlink" Target="https://github.com/storybookjs/storybook/pull/28739" TargetMode="External"/><Relationship Id="rId136" Type="http://schemas.openxmlformats.org/officeDocument/2006/relationships/hyperlink" Target="https://github.com/nl-design-system/rijkshuisstijl-community/pull/620" TargetMode="External"/><Relationship Id="rId157" Type="http://schemas.openxmlformats.org/officeDocument/2006/relationships/hyperlink" Target="https://github.com/Khan/wonder-blocks/pull/2441" TargetMode="External"/><Relationship Id="rId178" Type="http://schemas.openxmlformats.org/officeDocument/2006/relationships/hyperlink" Target="https://github.com/WPMedia/arc-themes-blocks/pull/862" TargetMode="External"/><Relationship Id="rId301" Type="http://schemas.openxmlformats.org/officeDocument/2006/relationships/hyperlink" Target="https://github.com/Khan/wonder-blocks/pull/1645" TargetMode="External"/><Relationship Id="rId322" Type="http://schemas.openxmlformats.org/officeDocument/2006/relationships/hyperlink" Target="https://github.com/nodejs/nodejs.org/pull/7754" TargetMode="External"/><Relationship Id="rId343" Type="http://schemas.openxmlformats.org/officeDocument/2006/relationships/hyperlink" Target="https://github.com/Khan/wonder-blocks/pull/2786" TargetMode="External"/><Relationship Id="rId61" Type="http://schemas.openxmlformats.org/officeDocument/2006/relationships/hyperlink" Target="https://github.com/coder/coder/pull/10857" TargetMode="External"/><Relationship Id="rId82" Type="http://schemas.openxmlformats.org/officeDocument/2006/relationships/hyperlink" Target="https://github.com/department-of-veterans-affairs/component-library/pull/1073" TargetMode="External"/><Relationship Id="rId199" Type="http://schemas.openxmlformats.org/officeDocument/2006/relationships/hyperlink" Target="https://github.com/guardian/gateway/pull/791" TargetMode="External"/><Relationship Id="rId203" Type="http://schemas.openxmlformats.org/officeDocument/2006/relationships/hyperlink" Target="https://github.com/PostHog/posthog/pull/5736" TargetMode="External"/><Relationship Id="rId19" Type="http://schemas.openxmlformats.org/officeDocument/2006/relationships/hyperlink" Target="https://github.com/livechat/design-system/pull/518" TargetMode="External"/><Relationship Id="rId224" Type="http://schemas.openxmlformats.org/officeDocument/2006/relationships/hyperlink" Target="https://github.com/Workday/canvas-kit/pull/1396" TargetMode="External"/><Relationship Id="rId245" Type="http://schemas.openxmlformats.org/officeDocument/2006/relationships/hyperlink" Target="https://github.com/WPMedia/arc-themes-blocks/pull/1332" TargetMode="External"/><Relationship Id="rId266" Type="http://schemas.openxmlformats.org/officeDocument/2006/relationships/hyperlink" Target="https://github.com/WPMedia/arc-themes-components/pull/116" TargetMode="External"/><Relationship Id="rId287" Type="http://schemas.openxmlformats.org/officeDocument/2006/relationships/hyperlink" Target="https://github.com/chanzuckerberg/edu-design-system/pull/1322" TargetMode="External"/><Relationship Id="rId30" Type="http://schemas.openxmlformats.org/officeDocument/2006/relationships/hyperlink" Target="https://github.com/contentful/forma-36/pull/2498" TargetMode="External"/><Relationship Id="rId105" Type="http://schemas.openxmlformats.org/officeDocument/2006/relationships/hyperlink" Target="https://github.com/danskernesdigitalebibliotek/dpl-design-system/pull/650" TargetMode="External"/><Relationship Id="rId126" Type="http://schemas.openxmlformats.org/officeDocument/2006/relationships/hyperlink" Target="https://github.com/kufu/smarthr-ui/pull/4821" TargetMode="External"/><Relationship Id="rId147" Type="http://schemas.openxmlformats.org/officeDocument/2006/relationships/hyperlink" Target="https://github.com/opendatasoft/ods-dataviz-sdk/pull/266" TargetMode="External"/><Relationship Id="rId168" Type="http://schemas.openxmlformats.org/officeDocument/2006/relationships/hyperlink" Target="https://github.com/cultureamp/kaizen-design-system/pull/1053" TargetMode="External"/><Relationship Id="rId312" Type="http://schemas.openxmlformats.org/officeDocument/2006/relationships/hyperlink" Target="https://github.com/Esri/calcite-design-system/pull/11759" TargetMode="External"/><Relationship Id="rId333" Type="http://schemas.openxmlformats.org/officeDocument/2006/relationships/hyperlink" Target="https://github.com/Esri/calcite-design-system/pull/12595" TargetMode="External"/><Relationship Id="rId51" Type="http://schemas.openxmlformats.org/officeDocument/2006/relationships/hyperlink" Target="https://github.com/isomerpages/isomercms-frontend/pull/1620" TargetMode="External"/><Relationship Id="rId72" Type="http://schemas.openxmlformats.org/officeDocument/2006/relationships/hyperlink" Target="https://github.com/adobe/react-spectrum/pull/5705" TargetMode="External"/><Relationship Id="rId93" Type="http://schemas.openxmlformats.org/officeDocument/2006/relationships/hyperlink" Target="https://github.com/NeurodataWithoutBorders/nwb-guide/pull/674" TargetMode="External"/><Relationship Id="rId189" Type="http://schemas.openxmlformats.org/officeDocument/2006/relationships/hyperlink" Target="https://github.com/WPMedia/arc-themes-blocks/pull/1014" TargetMode="External"/><Relationship Id="rId3" Type="http://schemas.openxmlformats.org/officeDocument/2006/relationships/hyperlink" Target="https://github.com/ni/nimble/pull/966" TargetMode="External"/><Relationship Id="rId214" Type="http://schemas.openxmlformats.org/officeDocument/2006/relationships/hyperlink" Target="https://github.com/guardian/dotcom-rendering/pull/3645" TargetMode="External"/><Relationship Id="rId235" Type="http://schemas.openxmlformats.org/officeDocument/2006/relationships/hyperlink" Target="https://github.com/ni/nimble/pull/406" TargetMode="External"/><Relationship Id="rId256" Type="http://schemas.openxmlformats.org/officeDocument/2006/relationships/hyperlink" Target="https://github.com/WPMedia/arc-themes-blocks/pull/1373" TargetMode="External"/><Relationship Id="rId277" Type="http://schemas.openxmlformats.org/officeDocument/2006/relationships/hyperlink" Target="https://github.com/WPMedia/arc-themes-blocks/pull/1462" TargetMode="External"/><Relationship Id="rId298" Type="http://schemas.openxmlformats.org/officeDocument/2006/relationships/hyperlink" Target="https://github.com/storybookjs/storybook/pull/19952" TargetMode="External"/><Relationship Id="rId116" Type="http://schemas.openxmlformats.org/officeDocument/2006/relationships/hyperlink" Target="https://github.com/Esri/calcite-design-system/pull/9912" TargetMode="External"/><Relationship Id="rId137" Type="http://schemas.openxmlformats.org/officeDocument/2006/relationships/hyperlink" Target="https://github.com/gradio-app/gradio/pull/9260" TargetMode="External"/><Relationship Id="rId158" Type="http://schemas.openxmlformats.org/officeDocument/2006/relationships/hyperlink" Target="https://github.com/serendie/serendie/pull/28" TargetMode="External"/><Relationship Id="rId302" Type="http://schemas.openxmlformats.org/officeDocument/2006/relationships/hyperlink" Target="https://github.com/guardian/dotcom-rendering/pull/6405" TargetMode="External"/><Relationship Id="rId323" Type="http://schemas.openxmlformats.org/officeDocument/2006/relationships/hyperlink" Target="https://github.com/nodejs/nodejs.org/pull/7754" TargetMode="External"/><Relationship Id="rId344" Type="http://schemas.openxmlformats.org/officeDocument/2006/relationships/hyperlink" Target="https://github.com/Khan/wonder-blocks/pull/2786" TargetMode="External"/><Relationship Id="rId20" Type="http://schemas.openxmlformats.org/officeDocument/2006/relationships/hyperlink" Target="https://github.com/coder/coder/pull/7210" TargetMode="External"/><Relationship Id="rId41" Type="http://schemas.openxmlformats.org/officeDocument/2006/relationships/hyperlink" Target="https://github.com/epicmaxco/vuestic-ui/pull/3729" TargetMode="External"/><Relationship Id="rId62" Type="http://schemas.openxmlformats.org/officeDocument/2006/relationships/hyperlink" Target="https://github.com/GCTC-NTGC/gc-digital-talent/pull/8405" TargetMode="External"/><Relationship Id="rId83" Type="http://schemas.openxmlformats.org/officeDocument/2006/relationships/hyperlink" Target="https://github.com/Esri/calcite-design-system/pull/8786" TargetMode="External"/><Relationship Id="rId179" Type="http://schemas.openxmlformats.org/officeDocument/2006/relationships/hyperlink" Target="https://github.com/storybookjs/storybook/pull/14820" TargetMode="External"/><Relationship Id="rId190" Type="http://schemas.openxmlformats.org/officeDocument/2006/relationships/hyperlink" Target="https://github.com/storybookjs/storybook/pull/15556" TargetMode="External"/><Relationship Id="rId204" Type="http://schemas.openxmlformats.org/officeDocument/2006/relationships/hyperlink" Target="https://github.com/eisbuk/EisBuk/pull/183" TargetMode="External"/><Relationship Id="rId225" Type="http://schemas.openxmlformats.org/officeDocument/2006/relationships/hyperlink" Target="https://github.com/Khan/wonder-blocks/pull/1257" TargetMode="External"/><Relationship Id="rId246" Type="http://schemas.openxmlformats.org/officeDocument/2006/relationships/hyperlink" Target="https://github.com/WPMedia/arc-themes-blocks/pull/1335" TargetMode="External"/><Relationship Id="rId267" Type="http://schemas.openxmlformats.org/officeDocument/2006/relationships/hyperlink" Target="https://github.com/WPMedia/arc-themes-components/pull/116" TargetMode="External"/><Relationship Id="rId288" Type="http://schemas.openxmlformats.org/officeDocument/2006/relationships/hyperlink" Target="https://github.com/chanzuckerberg/edu-design-system/pull/1322" TargetMode="External"/><Relationship Id="rId106" Type="http://schemas.openxmlformats.org/officeDocument/2006/relationships/hyperlink" Target="https://github.com/danskernesdigitalebibliotek/dpl-design-system/pull/650" TargetMode="External"/><Relationship Id="rId127" Type="http://schemas.openxmlformats.org/officeDocument/2006/relationships/hyperlink" Target="https://github.com/navikt/aksel/pull/3081" TargetMode="External"/><Relationship Id="rId313" Type="http://schemas.openxmlformats.org/officeDocument/2006/relationships/hyperlink" Target="https://github.com/openops-cloud/openops/pull/286" TargetMode="External"/><Relationship Id="rId10" Type="http://schemas.openxmlformats.org/officeDocument/2006/relationships/hyperlink" Target="https://github.com/ithaka/pharos/pull/503" TargetMode="External"/><Relationship Id="rId31" Type="http://schemas.openxmlformats.org/officeDocument/2006/relationships/hyperlink" Target="https://github.com/contentful/forma-36/pull/2498" TargetMode="External"/><Relationship Id="rId52" Type="http://schemas.openxmlformats.org/officeDocument/2006/relationships/hyperlink" Target="https://github.com/Esri/calcite-design-system/pull/8055" TargetMode="External"/><Relationship Id="rId73" Type="http://schemas.openxmlformats.org/officeDocument/2006/relationships/hyperlink" Target="https://github.com/recharts/recharts/pull/4062" TargetMode="External"/><Relationship Id="rId94" Type="http://schemas.openxmlformats.org/officeDocument/2006/relationships/hyperlink" Target="https://github.com/guardian/dotcom-rendering/pull/10864" TargetMode="External"/><Relationship Id="rId148" Type="http://schemas.openxmlformats.org/officeDocument/2006/relationships/hyperlink" Target="https://github.com/kufu/smarthr-ui/pull/5091" TargetMode="External"/><Relationship Id="rId169" Type="http://schemas.openxmlformats.org/officeDocument/2006/relationships/hyperlink" Target="https://github.com/CruGlobal/mpdx-react/pull/25" TargetMode="External"/><Relationship Id="rId334" Type="http://schemas.openxmlformats.org/officeDocument/2006/relationships/hyperlink" Target="https://github.com/kiva/kv-ui-elements/pull/597" TargetMode="External"/><Relationship Id="rId4" Type="http://schemas.openxmlformats.org/officeDocument/2006/relationships/hyperlink" Target="https://github.com/guardian/dotcom-rendering/pull/6954" TargetMode="External"/><Relationship Id="rId180" Type="http://schemas.openxmlformats.org/officeDocument/2006/relationships/hyperlink" Target="https://github.com/grommet/grommet/pull/5213" TargetMode="External"/><Relationship Id="rId215" Type="http://schemas.openxmlformats.org/officeDocument/2006/relationships/hyperlink" Target="https://github.com/guardian/dotcom-rendering/pull/3645" TargetMode="External"/><Relationship Id="rId236" Type="http://schemas.openxmlformats.org/officeDocument/2006/relationships/hyperlink" Target="https://github.com/ntls-io/nautilus-wallet/pull/160" TargetMode="External"/><Relationship Id="rId257" Type="http://schemas.openxmlformats.org/officeDocument/2006/relationships/hyperlink" Target="https://github.com/WPMedia/arc-themes-blocks/pull/1386" TargetMode="External"/><Relationship Id="rId278" Type="http://schemas.openxmlformats.org/officeDocument/2006/relationships/hyperlink" Target="https://github.com/storybookjs/storybook/pull/19029" TargetMode="External"/><Relationship Id="rId303" Type="http://schemas.openxmlformats.org/officeDocument/2006/relationships/hyperlink" Target="https://github.com/wellcomecollection/wellcomecollection.org/pull/8945" TargetMode="External"/><Relationship Id="rId42" Type="http://schemas.openxmlformats.org/officeDocument/2006/relationships/hyperlink" Target="https://github.com/NeurodataWithoutBorders/nwb-guide/pull/305" TargetMode="External"/><Relationship Id="rId84" Type="http://schemas.openxmlformats.org/officeDocument/2006/relationships/hyperlink" Target="https://github.com/kufu/smarthr-ui/pull/4302" TargetMode="External"/><Relationship Id="rId138" Type="http://schemas.openxmlformats.org/officeDocument/2006/relationships/hyperlink" Target="https://github.com/evidence-dev/evidence/pull/2511" TargetMode="External"/><Relationship Id="rId191" Type="http://schemas.openxmlformats.org/officeDocument/2006/relationships/hyperlink" Target="https://github.com/contentful/forma-36/pull/1093" TargetMode="External"/><Relationship Id="rId205" Type="http://schemas.openxmlformats.org/officeDocument/2006/relationships/hyperlink" Target="https://github.com/eisbuk/EisBuk/pull/183" TargetMode="External"/><Relationship Id="rId247" Type="http://schemas.openxmlformats.org/officeDocument/2006/relationships/hyperlink" Target="https://github.com/contentful/forma-36/pull/2057" TargetMode="External"/><Relationship Id="rId107" Type="http://schemas.openxmlformats.org/officeDocument/2006/relationships/hyperlink" Target="https://github.com/recharts/recharts/pull/4542" TargetMode="External"/><Relationship Id="rId289" Type="http://schemas.openxmlformats.org/officeDocument/2006/relationships/hyperlink" Target="https://github.com/chanzuckerberg/edu-design-system/pull/1346" TargetMode="External"/><Relationship Id="rId11" Type="http://schemas.openxmlformats.org/officeDocument/2006/relationships/hyperlink" Target="https://github.com/adobe/react-spectrum/pull/4243" TargetMode="External"/><Relationship Id="rId53" Type="http://schemas.openxmlformats.org/officeDocument/2006/relationships/hyperlink" Target="https://github.com/recharts/recharts/pull/3908" TargetMode="External"/><Relationship Id="rId149" Type="http://schemas.openxmlformats.org/officeDocument/2006/relationships/hyperlink" Target="https://github.com/Khan/wonder-blocks/pull/2363" TargetMode="External"/><Relationship Id="rId314" Type="http://schemas.openxmlformats.org/officeDocument/2006/relationships/hyperlink" Target="https://github.com/temporalio/ui/pull/2599" TargetMode="External"/><Relationship Id="rId95" Type="http://schemas.openxmlformats.org/officeDocument/2006/relationships/hyperlink" Target="https://github.com/wellcomecollection/wellcomecollection.org/pull/10792" TargetMode="External"/><Relationship Id="rId160" Type="http://schemas.openxmlformats.org/officeDocument/2006/relationships/hyperlink" Target="https://github.com/Sage/carbon/pull/3498" TargetMode="External"/><Relationship Id="rId216" Type="http://schemas.openxmlformats.org/officeDocument/2006/relationships/hyperlink" Target="https://github.com/cultureamp/kaizen-design-system/pull/2300" TargetMode="External"/><Relationship Id="rId258" Type="http://schemas.openxmlformats.org/officeDocument/2006/relationships/hyperlink" Target="https://github.com/WPMedia/arc-themes-blocks/pull/1386" TargetMode="External"/><Relationship Id="rId22" Type="http://schemas.openxmlformats.org/officeDocument/2006/relationships/hyperlink" Target="https://github.com/forkfacts/forkfacts-v2/pull/26" TargetMode="External"/><Relationship Id="rId64" Type="http://schemas.openxmlformats.org/officeDocument/2006/relationships/hyperlink" Target="https://github.com/sbb-design-systems/lyne-components/pull/2255" TargetMode="External"/><Relationship Id="rId118" Type="http://schemas.openxmlformats.org/officeDocument/2006/relationships/hyperlink" Target="https://github.com/gradio-app/gradio/pull/8851" TargetMode="External"/><Relationship Id="rId325" Type="http://schemas.openxmlformats.org/officeDocument/2006/relationships/hyperlink" Target="https://github.com/coder/coder/pull/17822" TargetMode="External"/><Relationship Id="rId171" Type="http://schemas.openxmlformats.org/officeDocument/2006/relationships/hyperlink" Target="https://github.com/storybookjs/storybook/pull/14251" TargetMode="External"/><Relationship Id="rId227" Type="http://schemas.openxmlformats.org/officeDocument/2006/relationships/hyperlink" Target="https://github.com/Workday/canvas-kit/pull/1441" TargetMode="External"/><Relationship Id="rId269" Type="http://schemas.openxmlformats.org/officeDocument/2006/relationships/hyperlink" Target="https://github.com/coder/coder/pull/3189" TargetMode="External"/><Relationship Id="rId33" Type="http://schemas.openxmlformats.org/officeDocument/2006/relationships/hyperlink" Target="https://github.com/Sage-Bionetworks/synapse-web-monorepo/pull/319" TargetMode="External"/><Relationship Id="rId129" Type="http://schemas.openxmlformats.org/officeDocument/2006/relationships/hyperlink" Target="https://github.com/sl-design-system/components/pull/1454" TargetMode="External"/><Relationship Id="rId280" Type="http://schemas.openxmlformats.org/officeDocument/2006/relationships/hyperlink" Target="https://github.com/chanzuckerberg/sci-components/pull/236" TargetMode="External"/><Relationship Id="rId336" Type="http://schemas.openxmlformats.org/officeDocument/2006/relationships/hyperlink" Target="https://github.com/recharts/recharts/pull/6059" TargetMode="External"/><Relationship Id="rId75" Type="http://schemas.openxmlformats.org/officeDocument/2006/relationships/hyperlink" Target="https://github.com/Esri/calcite-design-system/pull/8561" TargetMode="External"/><Relationship Id="rId140" Type="http://schemas.openxmlformats.org/officeDocument/2006/relationships/hyperlink" Target="https://github.com/guardian/dotcom-rendering/pull/12298" TargetMode="External"/><Relationship Id="rId182" Type="http://schemas.openxmlformats.org/officeDocument/2006/relationships/hyperlink" Target="https://github.com/adobe/react-spectrum/pull/2057" TargetMode="External"/><Relationship Id="rId6" Type="http://schemas.openxmlformats.org/officeDocument/2006/relationships/hyperlink" Target="https://github.com/storybookjs/storybook/pull/20995" TargetMode="External"/><Relationship Id="rId238" Type="http://schemas.openxmlformats.org/officeDocument/2006/relationships/hyperlink" Target="https://github.com/lena1687/react-game-project/pull/1" TargetMode="External"/><Relationship Id="rId291" Type="http://schemas.openxmlformats.org/officeDocument/2006/relationships/hyperlink" Target="https://github.com/cultureamp/kaizen-design-system/pull/3051" TargetMode="External"/><Relationship Id="rId305" Type="http://schemas.openxmlformats.org/officeDocument/2006/relationships/hyperlink" Target="https://github.com/storybookjs/storybook/pull/20359" TargetMode="External"/><Relationship Id="rId44" Type="http://schemas.openxmlformats.org/officeDocument/2006/relationships/hyperlink" Target="https://github.com/guardian/dotcom-rendering/pull/8478" TargetMode="External"/><Relationship Id="rId86" Type="http://schemas.openxmlformats.org/officeDocument/2006/relationships/hyperlink" Target="https://github.com/department-of-veterans-affairs/component-library/pull/1096" TargetMode="External"/><Relationship Id="rId151" Type="http://schemas.openxmlformats.org/officeDocument/2006/relationships/hyperlink" Target="https://github.com/fortanix/baklava/pull/54" TargetMode="External"/><Relationship Id="rId193" Type="http://schemas.openxmlformats.org/officeDocument/2006/relationships/hyperlink" Target="https://github.com/WPMedia/arc-themes-blocks/pull/1044" TargetMode="External"/><Relationship Id="rId207" Type="http://schemas.openxmlformats.org/officeDocument/2006/relationships/hyperlink" Target="https://github.com/WPMedia/arc-themes-blocks/pull/1092" TargetMode="External"/><Relationship Id="rId249" Type="http://schemas.openxmlformats.org/officeDocument/2006/relationships/hyperlink" Target="https://github.com/coder/coder/pull/1574" TargetMode="External"/><Relationship Id="rId13" Type="http://schemas.openxmlformats.org/officeDocument/2006/relationships/hyperlink" Target="https://github.com/NeurodataWithoutBorders/nwb-guide/pull/74" TargetMode="External"/><Relationship Id="rId109" Type="http://schemas.openxmlformats.org/officeDocument/2006/relationships/hyperlink" Target="https://github.com/Esri/calcite-design-system/pull/9688" TargetMode="External"/><Relationship Id="rId260" Type="http://schemas.openxmlformats.org/officeDocument/2006/relationships/hyperlink" Target="https://github.com/coder/coder/pull/2103" TargetMode="External"/><Relationship Id="rId316" Type="http://schemas.openxmlformats.org/officeDocument/2006/relationships/hyperlink" Target="https://github.com/Khan/wonder-blocks/pull/2508" TargetMode="External"/><Relationship Id="rId55" Type="http://schemas.openxmlformats.org/officeDocument/2006/relationships/hyperlink" Target="https://github.com/Esri/calcite-design-system/pull/8066" TargetMode="External"/><Relationship Id="rId97" Type="http://schemas.openxmlformats.org/officeDocument/2006/relationships/hyperlink" Target="https://github.com/ethereum/ethereum-org-website/pull/12639" TargetMode="External"/><Relationship Id="rId120" Type="http://schemas.openxmlformats.org/officeDocument/2006/relationships/hyperlink" Target="https://github.com/adobe/spectrum-css/pull/2929" TargetMode="External"/><Relationship Id="rId162" Type="http://schemas.openxmlformats.org/officeDocument/2006/relationships/hyperlink" Target="https://github.com/getappmap/appmap-js/pull/57" TargetMode="External"/><Relationship Id="rId218" Type="http://schemas.openxmlformats.org/officeDocument/2006/relationships/hyperlink" Target="https://github.com/input-output-hk/daedalus/pull/2776" TargetMode="External"/><Relationship Id="rId271" Type="http://schemas.openxmlformats.org/officeDocument/2006/relationships/hyperlink" Target="https://github.com/cerebrl/forgerock-web-login-framework/pull/6" TargetMode="External"/><Relationship Id="rId24" Type="http://schemas.openxmlformats.org/officeDocument/2006/relationships/hyperlink" Target="https://github.com/ForgeRock/forgerock-web-login-framework/pull/121" TargetMode="External"/><Relationship Id="rId66" Type="http://schemas.openxmlformats.org/officeDocument/2006/relationships/hyperlink" Target="https://github.com/adobe/spectrum-css/pull/2424" TargetMode="External"/><Relationship Id="rId131" Type="http://schemas.openxmlformats.org/officeDocument/2006/relationships/hyperlink" Target="https://github.com/guardian/dotcom-rendering/pull/12062" TargetMode="External"/><Relationship Id="rId327" Type="http://schemas.openxmlformats.org/officeDocument/2006/relationships/hyperlink" Target="https://github.com/Khan/wonder-blocks/pull/2602" TargetMode="External"/><Relationship Id="rId173" Type="http://schemas.openxmlformats.org/officeDocument/2006/relationships/hyperlink" Target="https://github.com/storybookjs/storybook/pull/14172" TargetMode="External"/><Relationship Id="rId229" Type="http://schemas.openxmlformats.org/officeDocument/2006/relationships/hyperlink" Target="https://github.com/hackworthltd/primer-app/pull/213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Khan/wonder-blocks/pull/2563" TargetMode="External"/><Relationship Id="rId18" Type="http://schemas.openxmlformats.org/officeDocument/2006/relationships/hyperlink" Target="https://github.com/storacha/bluesky-backup-webapp-server/pull/171" TargetMode="External"/><Relationship Id="rId26" Type="http://schemas.openxmlformats.org/officeDocument/2006/relationships/hyperlink" Target="https://github.com/kiva/kv-ui-elements/pull/597" TargetMode="External"/><Relationship Id="rId3" Type="http://schemas.openxmlformats.org/officeDocument/2006/relationships/hyperlink" Target="https://github.com/department-of-veterans-affairs/component-library/pull/1487" TargetMode="External"/><Relationship Id="rId21" Type="http://schemas.openxmlformats.org/officeDocument/2006/relationships/hyperlink" Target="https://github.com/Khan/wonder-blocks/pull/2600" TargetMode="External"/><Relationship Id="rId34" Type="http://schemas.openxmlformats.org/officeDocument/2006/relationships/hyperlink" Target="https://github.com/opengovsg/isomer/pull/1585" TargetMode="External"/><Relationship Id="rId7" Type="http://schemas.openxmlformats.org/officeDocument/2006/relationships/hyperlink" Target="https://github.com/Khan/wonder-blocks/pull/2508" TargetMode="External"/><Relationship Id="rId12" Type="http://schemas.openxmlformats.org/officeDocument/2006/relationships/hyperlink" Target="https://github.com/nodejs/nodejs.org/pull/7638" TargetMode="External"/><Relationship Id="rId17" Type="http://schemas.openxmlformats.org/officeDocument/2006/relationships/hyperlink" Target="https://github.com/coder/coder/pull/17822" TargetMode="External"/><Relationship Id="rId25" Type="http://schemas.openxmlformats.org/officeDocument/2006/relationships/hyperlink" Target="https://github.com/Esri/calcite-design-system/pull/12595" TargetMode="External"/><Relationship Id="rId33" Type="http://schemas.openxmlformats.org/officeDocument/2006/relationships/hyperlink" Target="https://github.com/adobe/react-spectrum/pull/8893" TargetMode="External"/><Relationship Id="rId2" Type="http://schemas.openxmlformats.org/officeDocument/2006/relationships/hyperlink" Target="https://github.com/opengovsg/isomer/pull/1144" TargetMode="External"/><Relationship Id="rId16" Type="http://schemas.openxmlformats.org/officeDocument/2006/relationships/hyperlink" Target="https://github.com/nodejs/nodejs.org/pull/7754" TargetMode="External"/><Relationship Id="rId20" Type="http://schemas.openxmlformats.org/officeDocument/2006/relationships/hyperlink" Target="https://github.com/Khan/wonder-blocks/pull/2602" TargetMode="External"/><Relationship Id="rId29" Type="http://schemas.openxmlformats.org/officeDocument/2006/relationships/hyperlink" Target="https://github.com/Khan/wonder-blocks/pull/2715" TargetMode="External"/><Relationship Id="rId1" Type="http://schemas.openxmlformats.org/officeDocument/2006/relationships/hyperlink" Target="https://github.com/serendie/serendie/pull/28" TargetMode="External"/><Relationship Id="rId6" Type="http://schemas.openxmlformats.org/officeDocument/2006/relationships/hyperlink" Target="https://github.com/temporalio/ui/pull/2599" TargetMode="External"/><Relationship Id="rId11" Type="http://schemas.openxmlformats.org/officeDocument/2006/relationships/hyperlink" Target="https://github.com/adobe/spectrum-css/pull/3593" TargetMode="External"/><Relationship Id="rId24" Type="http://schemas.openxmlformats.org/officeDocument/2006/relationships/hyperlink" Target="https://github.com/coder/coder/pull/18445" TargetMode="External"/><Relationship Id="rId32" Type="http://schemas.openxmlformats.org/officeDocument/2006/relationships/hyperlink" Target="https://github.com/coder/coder/pull/19753" TargetMode="External"/><Relationship Id="rId5" Type="http://schemas.openxmlformats.org/officeDocument/2006/relationships/hyperlink" Target="https://github.com/openops-cloud/openops/pull/286" TargetMode="External"/><Relationship Id="rId15" Type="http://schemas.openxmlformats.org/officeDocument/2006/relationships/hyperlink" Target="https://github.com/nodejs/nodejs.org/pull/7754" TargetMode="External"/><Relationship Id="rId23" Type="http://schemas.openxmlformats.org/officeDocument/2006/relationships/hyperlink" Target="https://github.com/Khan/wonder-blocks/pull/2661" TargetMode="External"/><Relationship Id="rId28" Type="http://schemas.openxmlformats.org/officeDocument/2006/relationships/hyperlink" Target="https://github.com/recharts/recharts/pull/6059" TargetMode="External"/><Relationship Id="rId36" Type="http://schemas.openxmlformats.org/officeDocument/2006/relationships/hyperlink" Target="https://github.com/Khan/wonder-blocks/pull/2786" TargetMode="External"/><Relationship Id="rId10" Type="http://schemas.openxmlformats.org/officeDocument/2006/relationships/hyperlink" Target="https://github.com/nl-design-system/denhaag/pull/1709" TargetMode="External"/><Relationship Id="rId19" Type="http://schemas.openxmlformats.org/officeDocument/2006/relationships/hyperlink" Target="https://github.com/Khan/wonder-blocks/pull/2602" TargetMode="External"/><Relationship Id="rId31" Type="http://schemas.openxmlformats.org/officeDocument/2006/relationships/hyperlink" Target="https://github.com/Khan/wonder-blocks/pull/2758" TargetMode="External"/><Relationship Id="rId4" Type="http://schemas.openxmlformats.org/officeDocument/2006/relationships/hyperlink" Target="https://github.com/Esri/calcite-design-system/pull/11759" TargetMode="External"/><Relationship Id="rId9" Type="http://schemas.openxmlformats.org/officeDocument/2006/relationships/hyperlink" Target="https://github.com/ory/elements/pull/371" TargetMode="External"/><Relationship Id="rId14" Type="http://schemas.openxmlformats.org/officeDocument/2006/relationships/hyperlink" Target="https://github.com/nodejs/nodejs.org/pull/7754" TargetMode="External"/><Relationship Id="rId22" Type="http://schemas.openxmlformats.org/officeDocument/2006/relationships/hyperlink" Target="https://github.com/recharts/recharts/pull/6008" TargetMode="External"/><Relationship Id="rId27" Type="http://schemas.openxmlformats.org/officeDocument/2006/relationships/hyperlink" Target="https://github.com/Khan/perseus/pull/2728" TargetMode="External"/><Relationship Id="rId30" Type="http://schemas.openxmlformats.org/officeDocument/2006/relationships/hyperlink" Target="https://github.com/Khan/wonder-blocks/pull/2766" TargetMode="External"/><Relationship Id="rId35" Type="http://schemas.openxmlformats.org/officeDocument/2006/relationships/hyperlink" Target="https://github.com/Khan/wonder-blocks/pull/2786" TargetMode="External"/><Relationship Id="rId8" Type="http://schemas.openxmlformats.org/officeDocument/2006/relationships/hyperlink" Target="https://github.com/Khan/wonder-blocks/pull/2508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Khan/wonder-blocks/pull/2563" TargetMode="External"/><Relationship Id="rId18" Type="http://schemas.openxmlformats.org/officeDocument/2006/relationships/hyperlink" Target="https://github.com/storacha/bluesky-backup-webapp-server/pull/171" TargetMode="External"/><Relationship Id="rId26" Type="http://schemas.openxmlformats.org/officeDocument/2006/relationships/hyperlink" Target="https://github.com/kiva/kv-ui-elements/pull/597" TargetMode="External"/><Relationship Id="rId3" Type="http://schemas.openxmlformats.org/officeDocument/2006/relationships/hyperlink" Target="https://github.com/department-of-veterans-affairs/component-library/pull/1487" TargetMode="External"/><Relationship Id="rId21" Type="http://schemas.openxmlformats.org/officeDocument/2006/relationships/hyperlink" Target="https://github.com/Khan/wonder-blocks/pull/2600" TargetMode="External"/><Relationship Id="rId34" Type="http://schemas.openxmlformats.org/officeDocument/2006/relationships/hyperlink" Target="https://github.com/opengovsg/isomer/pull/1585" TargetMode="External"/><Relationship Id="rId7" Type="http://schemas.openxmlformats.org/officeDocument/2006/relationships/hyperlink" Target="https://github.com/Khan/wonder-blocks/pull/2508" TargetMode="External"/><Relationship Id="rId12" Type="http://schemas.openxmlformats.org/officeDocument/2006/relationships/hyperlink" Target="https://github.com/nodejs/nodejs.org/pull/7638" TargetMode="External"/><Relationship Id="rId17" Type="http://schemas.openxmlformats.org/officeDocument/2006/relationships/hyperlink" Target="https://github.com/coder/coder/pull/17822" TargetMode="External"/><Relationship Id="rId25" Type="http://schemas.openxmlformats.org/officeDocument/2006/relationships/hyperlink" Target="https://github.com/Esri/calcite-design-system/pull/12595" TargetMode="External"/><Relationship Id="rId33" Type="http://schemas.openxmlformats.org/officeDocument/2006/relationships/hyperlink" Target="https://github.com/adobe/react-spectrum/pull/8893" TargetMode="External"/><Relationship Id="rId2" Type="http://schemas.openxmlformats.org/officeDocument/2006/relationships/hyperlink" Target="https://github.com/opengovsg/isomer/pull/1144" TargetMode="External"/><Relationship Id="rId16" Type="http://schemas.openxmlformats.org/officeDocument/2006/relationships/hyperlink" Target="https://github.com/nodejs/nodejs.org/pull/7754" TargetMode="External"/><Relationship Id="rId20" Type="http://schemas.openxmlformats.org/officeDocument/2006/relationships/hyperlink" Target="https://github.com/Khan/wonder-blocks/pull/2602" TargetMode="External"/><Relationship Id="rId29" Type="http://schemas.openxmlformats.org/officeDocument/2006/relationships/hyperlink" Target="https://github.com/Khan/wonder-blocks/pull/2715" TargetMode="External"/><Relationship Id="rId1" Type="http://schemas.openxmlformats.org/officeDocument/2006/relationships/hyperlink" Target="https://github.com/serendie/serendie/pull/28" TargetMode="External"/><Relationship Id="rId6" Type="http://schemas.openxmlformats.org/officeDocument/2006/relationships/hyperlink" Target="https://github.com/temporalio/ui/pull/2599" TargetMode="External"/><Relationship Id="rId11" Type="http://schemas.openxmlformats.org/officeDocument/2006/relationships/hyperlink" Target="https://github.com/adobe/spectrum-css/pull/3593" TargetMode="External"/><Relationship Id="rId24" Type="http://schemas.openxmlformats.org/officeDocument/2006/relationships/hyperlink" Target="https://github.com/coder/coder/pull/18445" TargetMode="External"/><Relationship Id="rId32" Type="http://schemas.openxmlformats.org/officeDocument/2006/relationships/hyperlink" Target="https://github.com/coder/coder/pull/19753" TargetMode="External"/><Relationship Id="rId5" Type="http://schemas.openxmlformats.org/officeDocument/2006/relationships/hyperlink" Target="https://github.com/openops-cloud/openops/pull/286" TargetMode="External"/><Relationship Id="rId15" Type="http://schemas.openxmlformats.org/officeDocument/2006/relationships/hyperlink" Target="https://github.com/nodejs/nodejs.org/pull/7754" TargetMode="External"/><Relationship Id="rId23" Type="http://schemas.openxmlformats.org/officeDocument/2006/relationships/hyperlink" Target="https://github.com/Khan/wonder-blocks/pull/2661" TargetMode="External"/><Relationship Id="rId28" Type="http://schemas.openxmlformats.org/officeDocument/2006/relationships/hyperlink" Target="https://github.com/recharts/recharts/pull/6059" TargetMode="External"/><Relationship Id="rId36" Type="http://schemas.openxmlformats.org/officeDocument/2006/relationships/hyperlink" Target="https://github.com/Khan/wonder-blocks/pull/2786" TargetMode="External"/><Relationship Id="rId10" Type="http://schemas.openxmlformats.org/officeDocument/2006/relationships/hyperlink" Target="https://github.com/nl-design-system/denhaag/pull/1709" TargetMode="External"/><Relationship Id="rId19" Type="http://schemas.openxmlformats.org/officeDocument/2006/relationships/hyperlink" Target="https://github.com/Khan/wonder-blocks/pull/2602" TargetMode="External"/><Relationship Id="rId31" Type="http://schemas.openxmlformats.org/officeDocument/2006/relationships/hyperlink" Target="https://github.com/Khan/wonder-blocks/pull/2758" TargetMode="External"/><Relationship Id="rId4" Type="http://schemas.openxmlformats.org/officeDocument/2006/relationships/hyperlink" Target="https://github.com/Esri/calcite-design-system/pull/11759" TargetMode="External"/><Relationship Id="rId9" Type="http://schemas.openxmlformats.org/officeDocument/2006/relationships/hyperlink" Target="https://github.com/ory/elements/pull/371" TargetMode="External"/><Relationship Id="rId14" Type="http://schemas.openxmlformats.org/officeDocument/2006/relationships/hyperlink" Target="https://github.com/nodejs/nodejs.org/pull/7754" TargetMode="External"/><Relationship Id="rId22" Type="http://schemas.openxmlformats.org/officeDocument/2006/relationships/hyperlink" Target="https://github.com/recharts/recharts/pull/6008" TargetMode="External"/><Relationship Id="rId27" Type="http://schemas.openxmlformats.org/officeDocument/2006/relationships/hyperlink" Target="https://github.com/Khan/perseus/pull/2728" TargetMode="External"/><Relationship Id="rId30" Type="http://schemas.openxmlformats.org/officeDocument/2006/relationships/hyperlink" Target="https://github.com/Khan/wonder-blocks/pull/2766" TargetMode="External"/><Relationship Id="rId35" Type="http://schemas.openxmlformats.org/officeDocument/2006/relationships/hyperlink" Target="https://github.com/Khan/wonder-blocks/pull/2786" TargetMode="External"/><Relationship Id="rId8" Type="http://schemas.openxmlformats.org/officeDocument/2006/relationships/hyperlink" Target="https://github.com/Khan/wonder-blocks/pull/2508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Khan/wonder-blocks/pull/2766" TargetMode="External"/><Relationship Id="rId21" Type="http://schemas.openxmlformats.org/officeDocument/2006/relationships/hyperlink" Target="https://github.com/Khan/wonder-blocks/pull/2661" TargetMode="External"/><Relationship Id="rId42" Type="http://schemas.openxmlformats.org/officeDocument/2006/relationships/hyperlink" Target="https://github.com/openops-cloud/openops/pull/286" TargetMode="External"/><Relationship Id="rId63" Type="http://schemas.openxmlformats.org/officeDocument/2006/relationships/hyperlink" Target="https://github.com/nodejs/nodejs.org/pull/7638" TargetMode="External"/><Relationship Id="rId84" Type="http://schemas.openxmlformats.org/officeDocument/2006/relationships/hyperlink" Target="https://github.com/Khan/wonder-blocks/pull/2602" TargetMode="External"/><Relationship Id="rId138" Type="http://schemas.openxmlformats.org/officeDocument/2006/relationships/hyperlink" Target="https://github.com/Khan/wonder-blocks/pull/2786" TargetMode="External"/><Relationship Id="rId16" Type="http://schemas.openxmlformats.org/officeDocument/2006/relationships/hyperlink" Target="https://github.com/storacha/bluesky-backup-webapp-server/pull/171" TargetMode="External"/><Relationship Id="rId107" Type="http://schemas.openxmlformats.org/officeDocument/2006/relationships/hyperlink" Target="https://github.com/Esri/calcite-design-system/pull/12595" TargetMode="External"/><Relationship Id="rId11" Type="http://schemas.openxmlformats.org/officeDocument/2006/relationships/hyperlink" Target="https://github.com/Khan/wonder-blocks/pull/2563" TargetMode="External"/><Relationship Id="rId32" Type="http://schemas.openxmlformats.org/officeDocument/2006/relationships/hyperlink" Target="https://github.com/opengovsg/isomer/pull/1585" TargetMode="External"/><Relationship Id="rId37" Type="http://schemas.openxmlformats.org/officeDocument/2006/relationships/hyperlink" Target="https://github.com/opengovsg/isomer/pull/1144" TargetMode="External"/><Relationship Id="rId53" Type="http://schemas.openxmlformats.org/officeDocument/2006/relationships/hyperlink" Target="https://github.com/Khan/wonder-blocks/pull/2508" TargetMode="External"/><Relationship Id="rId58" Type="http://schemas.openxmlformats.org/officeDocument/2006/relationships/hyperlink" Target="https://github.com/nl-design-system/denhaag/pull/1709" TargetMode="External"/><Relationship Id="rId74" Type="http://schemas.openxmlformats.org/officeDocument/2006/relationships/hyperlink" Target="https://github.com/nodejs/nodejs.org/pull/7754" TargetMode="External"/><Relationship Id="rId79" Type="http://schemas.openxmlformats.org/officeDocument/2006/relationships/hyperlink" Target="https://github.com/coder/coder/pull/17822" TargetMode="External"/><Relationship Id="rId102" Type="http://schemas.openxmlformats.org/officeDocument/2006/relationships/hyperlink" Target="https://github.com/Esri/calcite-design-system/pull/12595" TargetMode="External"/><Relationship Id="rId123" Type="http://schemas.openxmlformats.org/officeDocument/2006/relationships/hyperlink" Target="https://github.com/coder/coder/pull/19753" TargetMode="External"/><Relationship Id="rId128" Type="http://schemas.openxmlformats.org/officeDocument/2006/relationships/hyperlink" Target="https://github.com/coder/coder/pull/19753" TargetMode="External"/><Relationship Id="rId5" Type="http://schemas.openxmlformats.org/officeDocument/2006/relationships/hyperlink" Target="https://github.com/Khan/wonder-blocks/pull/2508" TargetMode="External"/><Relationship Id="rId90" Type="http://schemas.openxmlformats.org/officeDocument/2006/relationships/hyperlink" Target="https://github.com/Khan/wonder-blocks/pull/2600" TargetMode="External"/><Relationship Id="rId95" Type="http://schemas.openxmlformats.org/officeDocument/2006/relationships/hyperlink" Target="https://github.com/Khan/wonder-blocks/pull/2600" TargetMode="External"/><Relationship Id="rId22" Type="http://schemas.openxmlformats.org/officeDocument/2006/relationships/hyperlink" Target="https://github.com/coder/coder/pull/18445" TargetMode="External"/><Relationship Id="rId27" Type="http://schemas.openxmlformats.org/officeDocument/2006/relationships/hyperlink" Target="https://github.com/Khan/wonder-blocks/pull/2715" TargetMode="External"/><Relationship Id="rId43" Type="http://schemas.openxmlformats.org/officeDocument/2006/relationships/hyperlink" Target="https://github.com/openops-cloud/openops/pull/286" TargetMode="External"/><Relationship Id="rId48" Type="http://schemas.openxmlformats.org/officeDocument/2006/relationships/hyperlink" Target="https://github.com/Khan/wonder-blocks/pull/2508" TargetMode="External"/><Relationship Id="rId64" Type="http://schemas.openxmlformats.org/officeDocument/2006/relationships/hyperlink" Target="https://github.com/nodejs/nodejs.org/pull/7638" TargetMode="External"/><Relationship Id="rId69" Type="http://schemas.openxmlformats.org/officeDocument/2006/relationships/hyperlink" Target="https://github.com/nodejs/nodejs.org/pull/7754" TargetMode="External"/><Relationship Id="rId113" Type="http://schemas.openxmlformats.org/officeDocument/2006/relationships/hyperlink" Target="https://github.com/Khan/perseus/pull/2728" TargetMode="External"/><Relationship Id="rId118" Type="http://schemas.openxmlformats.org/officeDocument/2006/relationships/hyperlink" Target="https://github.com/Khan/wonder-blocks/pull/2766" TargetMode="External"/><Relationship Id="rId134" Type="http://schemas.openxmlformats.org/officeDocument/2006/relationships/hyperlink" Target="https://github.com/opengovsg/isomer/pull/1585" TargetMode="External"/><Relationship Id="rId80" Type="http://schemas.openxmlformats.org/officeDocument/2006/relationships/hyperlink" Target="https://github.com/nodejs/nodejs.org/pull/7754" TargetMode="External"/><Relationship Id="rId85" Type="http://schemas.openxmlformats.org/officeDocument/2006/relationships/hyperlink" Target="https://github.com/Khan/wonder-blocks/pull/2602" TargetMode="External"/><Relationship Id="rId12" Type="http://schemas.openxmlformats.org/officeDocument/2006/relationships/hyperlink" Target="https://github.com/nodejs/nodejs.org/pull/7754" TargetMode="External"/><Relationship Id="rId17" Type="http://schemas.openxmlformats.org/officeDocument/2006/relationships/hyperlink" Target="https://github.com/Khan/wonder-blocks/pull/2602" TargetMode="External"/><Relationship Id="rId33" Type="http://schemas.openxmlformats.org/officeDocument/2006/relationships/hyperlink" Target="https://github.com/Khan/wonder-blocks/pull/2786" TargetMode="External"/><Relationship Id="rId38" Type="http://schemas.openxmlformats.org/officeDocument/2006/relationships/hyperlink" Target="https://github.com/opengovsg/isomer/pull/1144" TargetMode="External"/><Relationship Id="rId59" Type="http://schemas.openxmlformats.org/officeDocument/2006/relationships/hyperlink" Target="https://github.com/ory/elements/pull/371" TargetMode="External"/><Relationship Id="rId103" Type="http://schemas.openxmlformats.org/officeDocument/2006/relationships/hyperlink" Target="https://github.com/Esri/calcite-design-system/pull/12595" TargetMode="External"/><Relationship Id="rId108" Type="http://schemas.openxmlformats.org/officeDocument/2006/relationships/hyperlink" Target="https://github.com/Khan/perseus/pull/2728" TargetMode="External"/><Relationship Id="rId124" Type="http://schemas.openxmlformats.org/officeDocument/2006/relationships/hyperlink" Target="https://github.com/coder/coder/pull/19753" TargetMode="External"/><Relationship Id="rId129" Type="http://schemas.openxmlformats.org/officeDocument/2006/relationships/hyperlink" Target="https://github.com/opengovsg/isomer/pull/1585" TargetMode="External"/><Relationship Id="rId54" Type="http://schemas.openxmlformats.org/officeDocument/2006/relationships/hyperlink" Target="https://github.com/ory/elements/pull/371" TargetMode="External"/><Relationship Id="rId70" Type="http://schemas.openxmlformats.org/officeDocument/2006/relationships/hyperlink" Target="https://github.com/nodejs/nodejs.org/pull/7754" TargetMode="External"/><Relationship Id="rId75" Type="http://schemas.openxmlformats.org/officeDocument/2006/relationships/hyperlink" Target="https://github.com/nodejs/nodejs.org/pull/7754" TargetMode="External"/><Relationship Id="rId91" Type="http://schemas.openxmlformats.org/officeDocument/2006/relationships/hyperlink" Target="https://github.com/Khan/wonder-blocks/pull/2600" TargetMode="External"/><Relationship Id="rId96" Type="http://schemas.openxmlformats.org/officeDocument/2006/relationships/hyperlink" Target="https://github.com/Khan/wonder-blocks/pull/2661" TargetMode="External"/><Relationship Id="rId1" Type="http://schemas.openxmlformats.org/officeDocument/2006/relationships/hyperlink" Target="https://github.com/opengovsg/isomer/pull/1144" TargetMode="External"/><Relationship Id="rId6" Type="http://schemas.openxmlformats.org/officeDocument/2006/relationships/hyperlink" Target="https://github.com/Khan/wonder-blocks/pull/2508" TargetMode="External"/><Relationship Id="rId23" Type="http://schemas.openxmlformats.org/officeDocument/2006/relationships/hyperlink" Target="https://github.com/Esri/calcite-design-system/pull/12595" TargetMode="External"/><Relationship Id="rId28" Type="http://schemas.openxmlformats.org/officeDocument/2006/relationships/hyperlink" Target="https://github.com/Khan/wonder-blocks/pull/2766" TargetMode="External"/><Relationship Id="rId49" Type="http://schemas.openxmlformats.org/officeDocument/2006/relationships/hyperlink" Target="https://github.com/Khan/wonder-blocks/pull/2508" TargetMode="External"/><Relationship Id="rId114" Type="http://schemas.openxmlformats.org/officeDocument/2006/relationships/hyperlink" Target="https://github.com/Khan/wonder-blocks/pull/2715" TargetMode="External"/><Relationship Id="rId119" Type="http://schemas.openxmlformats.org/officeDocument/2006/relationships/hyperlink" Target="https://github.com/Khan/wonder-blocks/pull/2715" TargetMode="External"/><Relationship Id="rId44" Type="http://schemas.openxmlformats.org/officeDocument/2006/relationships/hyperlink" Target="https://github.com/Esri/calcite-design-system/pull/11759" TargetMode="External"/><Relationship Id="rId60" Type="http://schemas.openxmlformats.org/officeDocument/2006/relationships/hyperlink" Target="https://github.com/adobe/spectrum-css/pull/3593" TargetMode="External"/><Relationship Id="rId65" Type="http://schemas.openxmlformats.org/officeDocument/2006/relationships/hyperlink" Target="https://github.com/adobe/spectrum-css/pull/3593" TargetMode="External"/><Relationship Id="rId81" Type="http://schemas.openxmlformats.org/officeDocument/2006/relationships/hyperlink" Target="https://github.com/storacha/bluesky-backup-webapp-server/pull/171" TargetMode="External"/><Relationship Id="rId86" Type="http://schemas.openxmlformats.org/officeDocument/2006/relationships/hyperlink" Target="https://github.com/storacha/bluesky-backup-webapp-server/pull/171" TargetMode="External"/><Relationship Id="rId130" Type="http://schemas.openxmlformats.org/officeDocument/2006/relationships/hyperlink" Target="https://github.com/opengovsg/isomer/pull/1585" TargetMode="External"/><Relationship Id="rId135" Type="http://schemas.openxmlformats.org/officeDocument/2006/relationships/hyperlink" Target="https://github.com/Khan/wonder-blocks/pull/2786" TargetMode="External"/><Relationship Id="rId13" Type="http://schemas.openxmlformats.org/officeDocument/2006/relationships/hyperlink" Target="https://github.com/nodejs/nodejs.org/pull/7754" TargetMode="External"/><Relationship Id="rId18" Type="http://schemas.openxmlformats.org/officeDocument/2006/relationships/hyperlink" Target="https://github.com/Khan/wonder-blocks/pull/2602" TargetMode="External"/><Relationship Id="rId39" Type="http://schemas.openxmlformats.org/officeDocument/2006/relationships/hyperlink" Target="https://github.com/Esri/calcite-design-system/pull/11759" TargetMode="External"/><Relationship Id="rId109" Type="http://schemas.openxmlformats.org/officeDocument/2006/relationships/hyperlink" Target="https://github.com/Khan/perseus/pull/2728" TargetMode="External"/><Relationship Id="rId34" Type="http://schemas.openxmlformats.org/officeDocument/2006/relationships/hyperlink" Target="https://github.com/Khan/wonder-blocks/pull/2786" TargetMode="External"/><Relationship Id="rId50" Type="http://schemas.openxmlformats.org/officeDocument/2006/relationships/hyperlink" Target="https://github.com/temporalio/ui/pull/2599" TargetMode="External"/><Relationship Id="rId55" Type="http://schemas.openxmlformats.org/officeDocument/2006/relationships/hyperlink" Target="https://github.com/ory/elements/pull/371" TargetMode="External"/><Relationship Id="rId76" Type="http://schemas.openxmlformats.org/officeDocument/2006/relationships/hyperlink" Target="https://github.com/nodejs/nodejs.org/pull/7754" TargetMode="External"/><Relationship Id="rId97" Type="http://schemas.openxmlformats.org/officeDocument/2006/relationships/hyperlink" Target="https://github.com/Khan/wonder-blocks/pull/2661" TargetMode="External"/><Relationship Id="rId104" Type="http://schemas.openxmlformats.org/officeDocument/2006/relationships/hyperlink" Target="https://github.com/coder/coder/pull/18445" TargetMode="External"/><Relationship Id="rId120" Type="http://schemas.openxmlformats.org/officeDocument/2006/relationships/hyperlink" Target="https://github.com/Khan/wonder-blocks/pull/2758" TargetMode="External"/><Relationship Id="rId125" Type="http://schemas.openxmlformats.org/officeDocument/2006/relationships/hyperlink" Target="https://github.com/Khan/wonder-blocks/pull/2758" TargetMode="External"/><Relationship Id="rId7" Type="http://schemas.openxmlformats.org/officeDocument/2006/relationships/hyperlink" Target="https://github.com/ory/elements/pull/371" TargetMode="External"/><Relationship Id="rId71" Type="http://schemas.openxmlformats.org/officeDocument/2006/relationships/hyperlink" Target="https://github.com/Khan/wonder-blocks/pull/2563" TargetMode="External"/><Relationship Id="rId92" Type="http://schemas.openxmlformats.org/officeDocument/2006/relationships/hyperlink" Target="https://github.com/Khan/wonder-blocks/pull/2602" TargetMode="External"/><Relationship Id="rId2" Type="http://schemas.openxmlformats.org/officeDocument/2006/relationships/hyperlink" Target="https://github.com/Esri/calcite-design-system/pull/11759" TargetMode="External"/><Relationship Id="rId29" Type="http://schemas.openxmlformats.org/officeDocument/2006/relationships/hyperlink" Target="https://github.com/Khan/wonder-blocks/pull/2758" TargetMode="External"/><Relationship Id="rId24" Type="http://schemas.openxmlformats.org/officeDocument/2006/relationships/hyperlink" Target="https://github.com/kiva/kv-ui-elements/pull/597" TargetMode="External"/><Relationship Id="rId40" Type="http://schemas.openxmlformats.org/officeDocument/2006/relationships/hyperlink" Target="https://github.com/Esri/calcite-design-system/pull/11759" TargetMode="External"/><Relationship Id="rId45" Type="http://schemas.openxmlformats.org/officeDocument/2006/relationships/hyperlink" Target="https://github.com/temporalio/ui/pull/2599" TargetMode="External"/><Relationship Id="rId66" Type="http://schemas.openxmlformats.org/officeDocument/2006/relationships/hyperlink" Target="https://github.com/Khan/wonder-blocks/pull/2563" TargetMode="External"/><Relationship Id="rId87" Type="http://schemas.openxmlformats.org/officeDocument/2006/relationships/hyperlink" Target="https://github.com/Khan/wonder-blocks/pull/2602" TargetMode="External"/><Relationship Id="rId110" Type="http://schemas.openxmlformats.org/officeDocument/2006/relationships/hyperlink" Target="https://github.com/kiva/kv-ui-elements/pull/597" TargetMode="External"/><Relationship Id="rId115" Type="http://schemas.openxmlformats.org/officeDocument/2006/relationships/hyperlink" Target="https://github.com/Khan/wonder-blocks/pull/2715" TargetMode="External"/><Relationship Id="rId131" Type="http://schemas.openxmlformats.org/officeDocument/2006/relationships/hyperlink" Target="https://github.com/adobe/react-spectrum/pull/8893" TargetMode="External"/><Relationship Id="rId136" Type="http://schemas.openxmlformats.org/officeDocument/2006/relationships/hyperlink" Target="https://github.com/Khan/wonder-blocks/pull/2786" TargetMode="External"/><Relationship Id="rId61" Type="http://schemas.openxmlformats.org/officeDocument/2006/relationships/hyperlink" Target="https://github.com/adobe/spectrum-css/pull/3593" TargetMode="External"/><Relationship Id="rId82" Type="http://schemas.openxmlformats.org/officeDocument/2006/relationships/hyperlink" Target="https://github.com/storacha/bluesky-backup-webapp-server/pull/171" TargetMode="External"/><Relationship Id="rId19" Type="http://schemas.openxmlformats.org/officeDocument/2006/relationships/hyperlink" Target="https://github.com/Khan/wonder-blocks/pull/2600" TargetMode="External"/><Relationship Id="rId14" Type="http://schemas.openxmlformats.org/officeDocument/2006/relationships/hyperlink" Target="https://github.com/nodejs/nodejs.org/pull/7754" TargetMode="External"/><Relationship Id="rId30" Type="http://schemas.openxmlformats.org/officeDocument/2006/relationships/hyperlink" Target="https://github.com/coder/coder/pull/19753" TargetMode="External"/><Relationship Id="rId35" Type="http://schemas.openxmlformats.org/officeDocument/2006/relationships/hyperlink" Target="https://github.com/serendie/serendie/pull/28" TargetMode="External"/><Relationship Id="rId56" Type="http://schemas.openxmlformats.org/officeDocument/2006/relationships/hyperlink" Target="https://github.com/Khan/wonder-blocks/pull/2508" TargetMode="External"/><Relationship Id="rId77" Type="http://schemas.openxmlformats.org/officeDocument/2006/relationships/hyperlink" Target="https://github.com/nodejs/nodejs.org/pull/7754" TargetMode="External"/><Relationship Id="rId100" Type="http://schemas.openxmlformats.org/officeDocument/2006/relationships/hyperlink" Target="https://github.com/coder/coder/pull/18445" TargetMode="External"/><Relationship Id="rId105" Type="http://schemas.openxmlformats.org/officeDocument/2006/relationships/hyperlink" Target="https://github.com/kiva/kv-ui-elements/pull/597" TargetMode="External"/><Relationship Id="rId126" Type="http://schemas.openxmlformats.org/officeDocument/2006/relationships/hyperlink" Target="https://github.com/adobe/react-spectrum/pull/8893" TargetMode="External"/><Relationship Id="rId8" Type="http://schemas.openxmlformats.org/officeDocument/2006/relationships/hyperlink" Target="https://github.com/nl-design-system/denhaag/pull/1709" TargetMode="External"/><Relationship Id="rId51" Type="http://schemas.openxmlformats.org/officeDocument/2006/relationships/hyperlink" Target="https://github.com/Khan/wonder-blocks/pull/2508" TargetMode="External"/><Relationship Id="rId72" Type="http://schemas.openxmlformats.org/officeDocument/2006/relationships/hyperlink" Target="https://github.com/nodejs/nodejs.org/pull/7754" TargetMode="External"/><Relationship Id="rId93" Type="http://schemas.openxmlformats.org/officeDocument/2006/relationships/hyperlink" Target="https://github.com/recharts/recharts/pull/6008" TargetMode="External"/><Relationship Id="rId98" Type="http://schemas.openxmlformats.org/officeDocument/2006/relationships/hyperlink" Target="https://github.com/recharts/recharts/pull/6008" TargetMode="External"/><Relationship Id="rId121" Type="http://schemas.openxmlformats.org/officeDocument/2006/relationships/hyperlink" Target="https://github.com/Khan/wonder-blocks/pull/2758" TargetMode="External"/><Relationship Id="rId3" Type="http://schemas.openxmlformats.org/officeDocument/2006/relationships/hyperlink" Target="https://github.com/openops-cloud/openops/pull/286" TargetMode="External"/><Relationship Id="rId25" Type="http://schemas.openxmlformats.org/officeDocument/2006/relationships/hyperlink" Target="https://github.com/Khan/perseus/pull/2728" TargetMode="External"/><Relationship Id="rId46" Type="http://schemas.openxmlformats.org/officeDocument/2006/relationships/hyperlink" Target="https://github.com/temporalio/ui/pull/2599" TargetMode="External"/><Relationship Id="rId67" Type="http://schemas.openxmlformats.org/officeDocument/2006/relationships/hyperlink" Target="https://github.com/Khan/wonder-blocks/pull/2563" TargetMode="External"/><Relationship Id="rId116" Type="http://schemas.openxmlformats.org/officeDocument/2006/relationships/hyperlink" Target="https://github.com/recharts/recharts/pull/6059" TargetMode="External"/><Relationship Id="rId137" Type="http://schemas.openxmlformats.org/officeDocument/2006/relationships/hyperlink" Target="https://github.com/Khan/wonder-blocks/pull/2786" TargetMode="External"/><Relationship Id="rId20" Type="http://schemas.openxmlformats.org/officeDocument/2006/relationships/hyperlink" Target="https://github.com/recharts/recharts/pull/6008" TargetMode="External"/><Relationship Id="rId41" Type="http://schemas.openxmlformats.org/officeDocument/2006/relationships/hyperlink" Target="https://github.com/department-of-veterans-affairs/component-library/pull/1487" TargetMode="External"/><Relationship Id="rId62" Type="http://schemas.openxmlformats.org/officeDocument/2006/relationships/hyperlink" Target="https://github.com/nl-design-system/denhaag/pull/1709" TargetMode="External"/><Relationship Id="rId83" Type="http://schemas.openxmlformats.org/officeDocument/2006/relationships/hyperlink" Target="https://github.com/coder/coder/pull/17822" TargetMode="External"/><Relationship Id="rId88" Type="http://schemas.openxmlformats.org/officeDocument/2006/relationships/hyperlink" Target="https://github.com/Khan/wonder-blocks/pull/2602" TargetMode="External"/><Relationship Id="rId111" Type="http://schemas.openxmlformats.org/officeDocument/2006/relationships/hyperlink" Target="https://github.com/recharts/recharts/pull/6059" TargetMode="External"/><Relationship Id="rId132" Type="http://schemas.openxmlformats.org/officeDocument/2006/relationships/hyperlink" Target="https://github.com/Khan/wonder-blocks/pull/2786" TargetMode="External"/><Relationship Id="rId15" Type="http://schemas.openxmlformats.org/officeDocument/2006/relationships/hyperlink" Target="https://github.com/coder/coder/pull/17822" TargetMode="External"/><Relationship Id="rId36" Type="http://schemas.openxmlformats.org/officeDocument/2006/relationships/hyperlink" Target="https://github.com/opengovsg/isomer/pull/1144" TargetMode="External"/><Relationship Id="rId57" Type="http://schemas.openxmlformats.org/officeDocument/2006/relationships/hyperlink" Target="https://github.com/nl-design-system/denhaag/pull/1709" TargetMode="External"/><Relationship Id="rId106" Type="http://schemas.openxmlformats.org/officeDocument/2006/relationships/hyperlink" Target="https://github.com/kiva/kv-ui-elements/pull/597" TargetMode="External"/><Relationship Id="rId127" Type="http://schemas.openxmlformats.org/officeDocument/2006/relationships/hyperlink" Target="https://github.com/adobe/react-spectrum/pull/8893" TargetMode="External"/><Relationship Id="rId10" Type="http://schemas.openxmlformats.org/officeDocument/2006/relationships/hyperlink" Target="https://github.com/nodejs/nodejs.org/pull/7638" TargetMode="External"/><Relationship Id="rId31" Type="http://schemas.openxmlformats.org/officeDocument/2006/relationships/hyperlink" Target="https://github.com/adobe/react-spectrum/pull/8893" TargetMode="External"/><Relationship Id="rId52" Type="http://schemas.openxmlformats.org/officeDocument/2006/relationships/hyperlink" Target="https://github.com/Khan/wonder-blocks/pull/2508" TargetMode="External"/><Relationship Id="rId73" Type="http://schemas.openxmlformats.org/officeDocument/2006/relationships/hyperlink" Target="https://github.com/nodejs/nodejs.org/pull/7754" TargetMode="External"/><Relationship Id="rId78" Type="http://schemas.openxmlformats.org/officeDocument/2006/relationships/hyperlink" Target="https://github.com/coder/coder/pull/17822" TargetMode="External"/><Relationship Id="rId94" Type="http://schemas.openxmlformats.org/officeDocument/2006/relationships/hyperlink" Target="https://github.com/recharts/recharts/pull/6008" TargetMode="External"/><Relationship Id="rId99" Type="http://schemas.openxmlformats.org/officeDocument/2006/relationships/hyperlink" Target="https://github.com/coder/coder/pull/18445" TargetMode="External"/><Relationship Id="rId101" Type="http://schemas.openxmlformats.org/officeDocument/2006/relationships/hyperlink" Target="https://github.com/Khan/wonder-blocks/pull/2661" TargetMode="External"/><Relationship Id="rId122" Type="http://schemas.openxmlformats.org/officeDocument/2006/relationships/hyperlink" Target="https://github.com/Khan/wonder-blocks/pull/2766" TargetMode="External"/><Relationship Id="rId4" Type="http://schemas.openxmlformats.org/officeDocument/2006/relationships/hyperlink" Target="https://github.com/temporalio/ui/pull/2599" TargetMode="External"/><Relationship Id="rId9" Type="http://schemas.openxmlformats.org/officeDocument/2006/relationships/hyperlink" Target="https://github.com/adobe/spectrum-css/pull/3593" TargetMode="External"/><Relationship Id="rId26" Type="http://schemas.openxmlformats.org/officeDocument/2006/relationships/hyperlink" Target="https://github.com/recharts/recharts/pull/6059" TargetMode="External"/><Relationship Id="rId47" Type="http://schemas.openxmlformats.org/officeDocument/2006/relationships/hyperlink" Target="https://github.com/openops-cloud/openops/pull/286" TargetMode="External"/><Relationship Id="rId68" Type="http://schemas.openxmlformats.org/officeDocument/2006/relationships/hyperlink" Target="https://github.com/nodejs/nodejs.org/pull/7638" TargetMode="External"/><Relationship Id="rId89" Type="http://schemas.openxmlformats.org/officeDocument/2006/relationships/hyperlink" Target="https://github.com/Khan/wonder-blocks/pull/2602" TargetMode="External"/><Relationship Id="rId112" Type="http://schemas.openxmlformats.org/officeDocument/2006/relationships/hyperlink" Target="https://github.com/recharts/recharts/pull/6059" TargetMode="External"/><Relationship Id="rId133" Type="http://schemas.openxmlformats.org/officeDocument/2006/relationships/hyperlink" Target="https://github.com/Khan/wonder-blocks/pull/2786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Khan/wonder-blocks/pull/2563" TargetMode="External"/><Relationship Id="rId18" Type="http://schemas.openxmlformats.org/officeDocument/2006/relationships/hyperlink" Target="https://github.com/storacha/bluesky-backup-webapp-server/pull/171" TargetMode="External"/><Relationship Id="rId26" Type="http://schemas.openxmlformats.org/officeDocument/2006/relationships/hyperlink" Target="https://github.com/kiva/kv-ui-elements/pull/597" TargetMode="External"/><Relationship Id="rId3" Type="http://schemas.openxmlformats.org/officeDocument/2006/relationships/hyperlink" Target="https://github.com/department-of-veterans-affairs/component-library/pull/1487" TargetMode="External"/><Relationship Id="rId21" Type="http://schemas.openxmlformats.org/officeDocument/2006/relationships/hyperlink" Target="https://github.com/Khan/wonder-blocks/pull/2600" TargetMode="External"/><Relationship Id="rId34" Type="http://schemas.openxmlformats.org/officeDocument/2006/relationships/hyperlink" Target="https://github.com/opengovsg/isomer/pull/1585" TargetMode="External"/><Relationship Id="rId7" Type="http://schemas.openxmlformats.org/officeDocument/2006/relationships/hyperlink" Target="https://github.com/Khan/wonder-blocks/pull/2508" TargetMode="External"/><Relationship Id="rId12" Type="http://schemas.openxmlformats.org/officeDocument/2006/relationships/hyperlink" Target="https://github.com/nodejs/nodejs.org/pull/7638" TargetMode="External"/><Relationship Id="rId17" Type="http://schemas.openxmlformats.org/officeDocument/2006/relationships/hyperlink" Target="https://github.com/coder/coder/pull/17822" TargetMode="External"/><Relationship Id="rId25" Type="http://schemas.openxmlformats.org/officeDocument/2006/relationships/hyperlink" Target="https://github.com/Esri/calcite-design-system/pull/12595" TargetMode="External"/><Relationship Id="rId33" Type="http://schemas.openxmlformats.org/officeDocument/2006/relationships/hyperlink" Target="https://github.com/adobe/react-spectrum/pull/8893" TargetMode="External"/><Relationship Id="rId2" Type="http://schemas.openxmlformats.org/officeDocument/2006/relationships/hyperlink" Target="https://github.com/opengovsg/isomer/pull/1144" TargetMode="External"/><Relationship Id="rId16" Type="http://schemas.openxmlformats.org/officeDocument/2006/relationships/hyperlink" Target="https://github.com/nodejs/nodejs.org/pull/7754" TargetMode="External"/><Relationship Id="rId20" Type="http://schemas.openxmlformats.org/officeDocument/2006/relationships/hyperlink" Target="https://github.com/Khan/wonder-blocks/pull/2602" TargetMode="External"/><Relationship Id="rId29" Type="http://schemas.openxmlformats.org/officeDocument/2006/relationships/hyperlink" Target="https://github.com/Khan/wonder-blocks/pull/2715" TargetMode="External"/><Relationship Id="rId1" Type="http://schemas.openxmlformats.org/officeDocument/2006/relationships/hyperlink" Target="https://github.com/serendie/serendie/pull/28" TargetMode="External"/><Relationship Id="rId6" Type="http://schemas.openxmlformats.org/officeDocument/2006/relationships/hyperlink" Target="https://github.com/temporalio/ui/pull/2599" TargetMode="External"/><Relationship Id="rId11" Type="http://schemas.openxmlformats.org/officeDocument/2006/relationships/hyperlink" Target="https://github.com/adobe/spectrum-css/pull/3593" TargetMode="External"/><Relationship Id="rId24" Type="http://schemas.openxmlformats.org/officeDocument/2006/relationships/hyperlink" Target="https://github.com/coder/coder/pull/18445" TargetMode="External"/><Relationship Id="rId32" Type="http://schemas.openxmlformats.org/officeDocument/2006/relationships/hyperlink" Target="https://github.com/coder/coder/pull/19753" TargetMode="External"/><Relationship Id="rId5" Type="http://schemas.openxmlformats.org/officeDocument/2006/relationships/hyperlink" Target="https://github.com/openops-cloud/openops/pull/286" TargetMode="External"/><Relationship Id="rId15" Type="http://schemas.openxmlformats.org/officeDocument/2006/relationships/hyperlink" Target="https://github.com/nodejs/nodejs.org/pull/7754" TargetMode="External"/><Relationship Id="rId23" Type="http://schemas.openxmlformats.org/officeDocument/2006/relationships/hyperlink" Target="https://github.com/Khan/wonder-blocks/pull/2661" TargetMode="External"/><Relationship Id="rId28" Type="http://schemas.openxmlformats.org/officeDocument/2006/relationships/hyperlink" Target="https://github.com/recharts/recharts/pull/6059" TargetMode="External"/><Relationship Id="rId36" Type="http://schemas.openxmlformats.org/officeDocument/2006/relationships/hyperlink" Target="https://github.com/Khan/wonder-blocks/pull/2786" TargetMode="External"/><Relationship Id="rId10" Type="http://schemas.openxmlformats.org/officeDocument/2006/relationships/hyperlink" Target="https://github.com/nl-design-system/denhaag/pull/1709" TargetMode="External"/><Relationship Id="rId19" Type="http://schemas.openxmlformats.org/officeDocument/2006/relationships/hyperlink" Target="https://github.com/Khan/wonder-blocks/pull/2602" TargetMode="External"/><Relationship Id="rId31" Type="http://schemas.openxmlformats.org/officeDocument/2006/relationships/hyperlink" Target="https://github.com/Khan/wonder-blocks/pull/2758" TargetMode="External"/><Relationship Id="rId4" Type="http://schemas.openxmlformats.org/officeDocument/2006/relationships/hyperlink" Target="https://github.com/Esri/calcite-design-system/pull/11759" TargetMode="External"/><Relationship Id="rId9" Type="http://schemas.openxmlformats.org/officeDocument/2006/relationships/hyperlink" Target="https://github.com/ory/elements/pull/371" TargetMode="External"/><Relationship Id="rId14" Type="http://schemas.openxmlformats.org/officeDocument/2006/relationships/hyperlink" Target="https://github.com/nodejs/nodejs.org/pull/7754" TargetMode="External"/><Relationship Id="rId22" Type="http://schemas.openxmlformats.org/officeDocument/2006/relationships/hyperlink" Target="https://github.com/recharts/recharts/pull/6008" TargetMode="External"/><Relationship Id="rId27" Type="http://schemas.openxmlformats.org/officeDocument/2006/relationships/hyperlink" Target="https://github.com/Khan/perseus/pull/2728" TargetMode="External"/><Relationship Id="rId30" Type="http://schemas.openxmlformats.org/officeDocument/2006/relationships/hyperlink" Target="https://github.com/Khan/wonder-blocks/pull/2766" TargetMode="External"/><Relationship Id="rId35" Type="http://schemas.openxmlformats.org/officeDocument/2006/relationships/hyperlink" Target="https://github.com/Khan/wonder-blocks/pull/2786" TargetMode="External"/><Relationship Id="rId8" Type="http://schemas.openxmlformats.org/officeDocument/2006/relationships/hyperlink" Target="https://github.com/Khan/wonder-blocks/pull/25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45"/>
  <sheetViews>
    <sheetView workbookViewId="0"/>
  </sheetViews>
  <sheetFormatPr baseColWidth="10" defaultColWidth="12.6640625" defaultRowHeight="15.75" customHeight="1"/>
  <cols>
    <col min="1" max="1" width="79.6640625" customWidth="1"/>
    <col min="2" max="2" width="30.6640625" customWidth="1"/>
    <col min="3" max="3" width="15.6640625" customWidth="1"/>
    <col min="4" max="4" width="56.5" customWidth="1"/>
    <col min="5" max="5" width="27.6640625" customWidth="1"/>
    <col min="6" max="6" width="23.6640625" customWidth="1"/>
  </cols>
  <sheetData>
    <row r="1" spans="1:4" ht="15.75" customHeight="1">
      <c r="A1" s="1" t="s">
        <v>0</v>
      </c>
      <c r="B1" s="16" t="s">
        <v>1</v>
      </c>
      <c r="C1" s="17"/>
    </row>
    <row r="2" spans="1:4" ht="15.75" customHeight="1">
      <c r="A2" s="3" t="s">
        <v>2</v>
      </c>
      <c r="B2" s="2" t="s">
        <v>3</v>
      </c>
      <c r="D2" s="4"/>
    </row>
    <row r="3" spans="1:4" ht="15.75" customHeight="1">
      <c r="A3" s="5" t="s">
        <v>4</v>
      </c>
      <c r="B3" s="2" t="s">
        <v>5</v>
      </c>
      <c r="D3" s="4"/>
    </row>
    <row r="4" spans="1:4" ht="15.75" customHeight="1">
      <c r="A4" s="5" t="s">
        <v>6</v>
      </c>
      <c r="B4" s="2" t="s">
        <v>7</v>
      </c>
      <c r="D4" s="4"/>
    </row>
    <row r="5" spans="1:4" ht="15.75" customHeight="1">
      <c r="A5" s="5" t="s">
        <v>8</v>
      </c>
      <c r="B5" s="2" t="s">
        <v>9</v>
      </c>
      <c r="D5" s="4"/>
    </row>
    <row r="6" spans="1:4" ht="15.75" customHeight="1">
      <c r="A6" s="5" t="s">
        <v>10</v>
      </c>
      <c r="B6" s="2" t="s">
        <v>11</v>
      </c>
      <c r="D6" s="4"/>
    </row>
    <row r="7" spans="1:4" ht="15.75" customHeight="1">
      <c r="A7" s="5" t="s">
        <v>12</v>
      </c>
      <c r="B7" s="2" t="s">
        <v>5</v>
      </c>
      <c r="D7" s="4"/>
    </row>
    <row r="8" spans="1:4" ht="15.75" customHeight="1">
      <c r="A8" s="5" t="s">
        <v>13</v>
      </c>
      <c r="B8" s="2" t="s">
        <v>14</v>
      </c>
      <c r="D8" s="4"/>
    </row>
    <row r="9" spans="1:4" ht="15.75" customHeight="1">
      <c r="A9" s="5" t="s">
        <v>15</v>
      </c>
      <c r="B9" s="2" t="s">
        <v>5</v>
      </c>
      <c r="D9" s="4"/>
    </row>
    <row r="10" spans="1:4" ht="15.75" customHeight="1">
      <c r="A10" s="5" t="s">
        <v>16</v>
      </c>
      <c r="B10" s="2" t="s">
        <v>5</v>
      </c>
      <c r="D10" s="4"/>
    </row>
    <row r="11" spans="1:4" ht="15.75" customHeight="1">
      <c r="A11" s="5" t="s">
        <v>17</v>
      </c>
      <c r="B11" s="2" t="s">
        <v>18</v>
      </c>
      <c r="D11" s="4"/>
    </row>
    <row r="12" spans="1:4" ht="15.75" customHeight="1">
      <c r="A12" s="5" t="s">
        <v>19</v>
      </c>
      <c r="B12" s="2" t="s">
        <v>20</v>
      </c>
      <c r="D12" s="4"/>
    </row>
    <row r="13" spans="1:4" ht="15.75" customHeight="1">
      <c r="A13" s="5" t="s">
        <v>21</v>
      </c>
      <c r="B13" s="2" t="s">
        <v>22</v>
      </c>
      <c r="C13" s="2" t="s">
        <v>23</v>
      </c>
      <c r="D13" s="4"/>
    </row>
    <row r="14" spans="1:4" ht="15.75" customHeight="1">
      <c r="A14" s="5" t="s">
        <v>24</v>
      </c>
      <c r="B14" s="2" t="s">
        <v>5</v>
      </c>
      <c r="D14" s="4"/>
    </row>
    <row r="15" spans="1:4" ht="15.75" customHeight="1">
      <c r="A15" s="5" t="s">
        <v>25</v>
      </c>
      <c r="B15" s="2" t="s">
        <v>26</v>
      </c>
      <c r="C15" s="2" t="s">
        <v>27</v>
      </c>
      <c r="D15" s="4"/>
    </row>
    <row r="16" spans="1:4" ht="15.75" customHeight="1">
      <c r="A16" s="5" t="s">
        <v>28</v>
      </c>
      <c r="B16" s="2" t="s">
        <v>14</v>
      </c>
      <c r="D16" s="4"/>
    </row>
    <row r="17" spans="1:4" ht="15.75" customHeight="1">
      <c r="A17" s="5" t="s">
        <v>29</v>
      </c>
      <c r="B17" s="2" t="s">
        <v>5</v>
      </c>
      <c r="D17" s="4"/>
    </row>
    <row r="18" spans="1:4" ht="15.75" customHeight="1">
      <c r="A18" s="5" t="s">
        <v>30</v>
      </c>
      <c r="B18" s="2" t="s">
        <v>31</v>
      </c>
      <c r="D18" s="4"/>
    </row>
    <row r="19" spans="1:4" ht="15.75" customHeight="1">
      <c r="A19" s="5" t="s">
        <v>32</v>
      </c>
      <c r="B19" s="2" t="s">
        <v>20</v>
      </c>
      <c r="D19" s="4"/>
    </row>
    <row r="20" spans="1:4" ht="15.75" customHeight="1">
      <c r="A20" s="5" t="s">
        <v>33</v>
      </c>
      <c r="B20" s="2" t="s">
        <v>34</v>
      </c>
      <c r="D20" s="4"/>
    </row>
    <row r="21" spans="1:4" ht="15.75" customHeight="1">
      <c r="A21" s="5" t="s">
        <v>35</v>
      </c>
      <c r="B21" s="2" t="s">
        <v>20</v>
      </c>
      <c r="D21" s="4"/>
    </row>
    <row r="22" spans="1:4" ht="15.75" customHeight="1">
      <c r="A22" s="5" t="s">
        <v>36</v>
      </c>
      <c r="B22" s="2" t="s">
        <v>5</v>
      </c>
      <c r="D22" s="4"/>
    </row>
    <row r="23" spans="1:4" ht="15.75" customHeight="1">
      <c r="A23" s="5" t="s">
        <v>37</v>
      </c>
      <c r="B23" s="2" t="s">
        <v>9</v>
      </c>
      <c r="D23" s="4"/>
    </row>
    <row r="24" spans="1:4" ht="15.75" customHeight="1">
      <c r="A24" s="5" t="s">
        <v>38</v>
      </c>
      <c r="B24" s="2" t="s">
        <v>20</v>
      </c>
      <c r="D24" s="4"/>
    </row>
    <row r="25" spans="1:4" ht="15.75" customHeight="1">
      <c r="A25" s="5" t="s">
        <v>39</v>
      </c>
      <c r="B25" s="2" t="s">
        <v>20</v>
      </c>
      <c r="D25" s="4"/>
    </row>
    <row r="26" spans="1:4" ht="15.75" customHeight="1">
      <c r="A26" s="5" t="s">
        <v>40</v>
      </c>
      <c r="B26" s="2" t="s">
        <v>5</v>
      </c>
      <c r="D26" s="4"/>
    </row>
    <row r="27" spans="1:4" ht="15.75" customHeight="1">
      <c r="A27" s="5" t="s">
        <v>41</v>
      </c>
      <c r="B27" s="2" t="s">
        <v>5</v>
      </c>
      <c r="D27" s="4"/>
    </row>
    <row r="28" spans="1:4" ht="15.75" customHeight="1">
      <c r="A28" s="5" t="s">
        <v>42</v>
      </c>
      <c r="B28" s="2" t="s">
        <v>43</v>
      </c>
      <c r="D28" s="4"/>
    </row>
    <row r="29" spans="1:4" ht="15.75" customHeight="1">
      <c r="A29" s="5" t="s">
        <v>44</v>
      </c>
      <c r="B29" s="2" t="s">
        <v>45</v>
      </c>
      <c r="D29" s="4"/>
    </row>
    <row r="30" spans="1:4" ht="15.75" customHeight="1">
      <c r="A30" s="5" t="s">
        <v>46</v>
      </c>
      <c r="B30" s="2" t="s">
        <v>45</v>
      </c>
      <c r="D30" s="4"/>
    </row>
    <row r="31" spans="1:4" ht="15.75" customHeight="1">
      <c r="A31" s="5" t="s">
        <v>47</v>
      </c>
      <c r="B31" s="2" t="s">
        <v>45</v>
      </c>
      <c r="D31" s="4"/>
    </row>
    <row r="32" spans="1:4" ht="15.75" customHeight="1">
      <c r="A32" s="5" t="s">
        <v>48</v>
      </c>
      <c r="B32" s="2" t="s">
        <v>5</v>
      </c>
      <c r="D32" s="4"/>
    </row>
    <row r="33" spans="1:4" ht="15.75" customHeight="1">
      <c r="A33" s="5" t="s">
        <v>49</v>
      </c>
      <c r="B33" s="2" t="s">
        <v>20</v>
      </c>
      <c r="D33" s="4"/>
    </row>
    <row r="34" spans="1:4" ht="15.75" customHeight="1">
      <c r="A34" s="5" t="s">
        <v>50</v>
      </c>
      <c r="B34" s="2" t="s">
        <v>51</v>
      </c>
      <c r="D34" s="4"/>
    </row>
    <row r="35" spans="1:4" ht="15.75" customHeight="1">
      <c r="A35" s="5" t="s">
        <v>52</v>
      </c>
      <c r="B35" s="2" t="s">
        <v>53</v>
      </c>
      <c r="D35" s="4"/>
    </row>
    <row r="36" spans="1:4" ht="15.75" customHeight="1">
      <c r="A36" s="5" t="s">
        <v>54</v>
      </c>
      <c r="B36" s="2" t="s">
        <v>14</v>
      </c>
      <c r="D36" s="4"/>
    </row>
    <row r="37" spans="1:4" ht="15.75" customHeight="1">
      <c r="A37" s="5" t="s">
        <v>55</v>
      </c>
      <c r="B37" s="2" t="s">
        <v>20</v>
      </c>
      <c r="D37" s="4"/>
    </row>
    <row r="38" spans="1:4" ht="15.75" customHeight="1">
      <c r="A38" s="5" t="s">
        <v>56</v>
      </c>
      <c r="B38" s="2" t="s">
        <v>20</v>
      </c>
      <c r="D38" s="4"/>
    </row>
    <row r="39" spans="1:4" ht="15.75" customHeight="1">
      <c r="A39" s="5" t="s">
        <v>57</v>
      </c>
      <c r="B39" s="2" t="s">
        <v>20</v>
      </c>
      <c r="D39" s="4"/>
    </row>
    <row r="40" spans="1:4" ht="15.75" customHeight="1">
      <c r="A40" s="5" t="s">
        <v>58</v>
      </c>
      <c r="B40" s="2" t="s">
        <v>20</v>
      </c>
      <c r="D40" s="4"/>
    </row>
    <row r="41" spans="1:4" ht="15.75" customHeight="1">
      <c r="A41" s="5" t="s">
        <v>59</v>
      </c>
      <c r="B41" s="2" t="s">
        <v>5</v>
      </c>
      <c r="D41" s="4"/>
    </row>
    <row r="42" spans="1:4" ht="15.75" customHeight="1">
      <c r="A42" s="5" t="s">
        <v>60</v>
      </c>
      <c r="B42" s="2" t="s">
        <v>31</v>
      </c>
      <c r="D42" s="4"/>
    </row>
    <row r="43" spans="1:4" ht="15.75" customHeight="1">
      <c r="A43" s="5" t="s">
        <v>61</v>
      </c>
      <c r="B43" s="2" t="s">
        <v>27</v>
      </c>
      <c r="D43" s="4"/>
    </row>
    <row r="44" spans="1:4" ht="15.75" customHeight="1">
      <c r="A44" s="5" t="s">
        <v>62</v>
      </c>
      <c r="B44" s="2" t="s">
        <v>63</v>
      </c>
      <c r="D44" s="4"/>
    </row>
    <row r="45" spans="1:4" ht="15.75" customHeight="1">
      <c r="A45" s="5" t="s">
        <v>64</v>
      </c>
      <c r="B45" s="2" t="s">
        <v>7</v>
      </c>
      <c r="D45" s="4"/>
    </row>
    <row r="46" spans="1:4" ht="15.75" customHeight="1">
      <c r="A46" s="5" t="s">
        <v>65</v>
      </c>
      <c r="B46" s="2" t="s">
        <v>5</v>
      </c>
      <c r="D46" s="4"/>
    </row>
    <row r="47" spans="1:4" ht="15.75" customHeight="1">
      <c r="A47" s="5" t="s">
        <v>66</v>
      </c>
      <c r="B47" s="2" t="s">
        <v>27</v>
      </c>
      <c r="D47" s="4"/>
    </row>
    <row r="48" spans="1:4" ht="15.75" customHeight="1">
      <c r="A48" s="5" t="s">
        <v>67</v>
      </c>
      <c r="B48" s="2" t="s">
        <v>34</v>
      </c>
      <c r="D48" s="4"/>
    </row>
    <row r="49" spans="1:4" ht="15.75" customHeight="1">
      <c r="A49" s="5" t="s">
        <v>68</v>
      </c>
      <c r="B49" s="2" t="s">
        <v>20</v>
      </c>
      <c r="D49" s="4"/>
    </row>
    <row r="50" spans="1:4" ht="15.75" customHeight="1">
      <c r="A50" s="3" t="s">
        <v>69</v>
      </c>
      <c r="B50" s="2" t="s">
        <v>70</v>
      </c>
      <c r="D50" s="4"/>
    </row>
    <row r="51" spans="1:4" ht="15.75" customHeight="1">
      <c r="A51" s="5" t="s">
        <v>71</v>
      </c>
      <c r="B51" s="2" t="s">
        <v>23</v>
      </c>
      <c r="D51" s="4"/>
    </row>
    <row r="52" spans="1:4" ht="15.75" customHeight="1">
      <c r="A52" s="5" t="s">
        <v>72</v>
      </c>
      <c r="B52" s="2" t="s">
        <v>20</v>
      </c>
      <c r="D52" s="4"/>
    </row>
    <row r="53" spans="1:4" ht="15.75" customHeight="1">
      <c r="A53" s="5" t="s">
        <v>73</v>
      </c>
      <c r="B53" s="2" t="s">
        <v>7</v>
      </c>
      <c r="D53" s="4"/>
    </row>
    <row r="54" spans="1:4" ht="15.75" customHeight="1">
      <c r="A54" s="5" t="s">
        <v>74</v>
      </c>
      <c r="B54" s="2" t="s">
        <v>75</v>
      </c>
      <c r="D54" s="4"/>
    </row>
    <row r="55" spans="1:4" ht="15.75" customHeight="1">
      <c r="A55" s="5" t="s">
        <v>76</v>
      </c>
      <c r="B55" s="2" t="s">
        <v>14</v>
      </c>
      <c r="D55" s="4"/>
    </row>
    <row r="56" spans="1:4" ht="15.75" customHeight="1">
      <c r="A56" s="5" t="s">
        <v>77</v>
      </c>
      <c r="B56" s="2" t="s">
        <v>20</v>
      </c>
      <c r="D56" s="4"/>
    </row>
    <row r="57" spans="1:4" ht="15.75" customHeight="1">
      <c r="A57" s="5" t="s">
        <v>78</v>
      </c>
      <c r="B57" s="2" t="s">
        <v>9</v>
      </c>
      <c r="D57" s="4"/>
    </row>
    <row r="58" spans="1:4" ht="13">
      <c r="A58" s="5" t="s">
        <v>79</v>
      </c>
      <c r="B58" s="2" t="s">
        <v>53</v>
      </c>
      <c r="D58" s="4"/>
    </row>
    <row r="59" spans="1:4" ht="13">
      <c r="A59" s="5" t="s">
        <v>80</v>
      </c>
      <c r="B59" s="2" t="s">
        <v>20</v>
      </c>
      <c r="D59" s="4"/>
    </row>
    <row r="60" spans="1:4" ht="13">
      <c r="A60" s="5" t="s">
        <v>81</v>
      </c>
      <c r="B60" s="2" t="s">
        <v>20</v>
      </c>
      <c r="D60" s="4"/>
    </row>
    <row r="61" spans="1:4" ht="13">
      <c r="A61" s="5" t="s">
        <v>82</v>
      </c>
      <c r="B61" s="2" t="s">
        <v>75</v>
      </c>
      <c r="D61" s="4"/>
    </row>
    <row r="62" spans="1:4" ht="13">
      <c r="A62" s="5" t="s">
        <v>83</v>
      </c>
      <c r="B62" s="2" t="s">
        <v>45</v>
      </c>
      <c r="D62" s="4"/>
    </row>
    <row r="63" spans="1:4" ht="13">
      <c r="A63" s="5" t="s">
        <v>84</v>
      </c>
      <c r="B63" s="2" t="s">
        <v>85</v>
      </c>
      <c r="D63" s="4"/>
    </row>
    <row r="64" spans="1:4" ht="13">
      <c r="A64" s="5" t="s">
        <v>86</v>
      </c>
      <c r="B64" s="2" t="s">
        <v>20</v>
      </c>
      <c r="D64" s="4"/>
    </row>
    <row r="65" spans="1:4" ht="13">
      <c r="A65" s="5" t="s">
        <v>87</v>
      </c>
      <c r="B65" s="2" t="s">
        <v>7</v>
      </c>
      <c r="D65" s="4"/>
    </row>
    <row r="66" spans="1:4" ht="13">
      <c r="A66" s="5" t="s">
        <v>88</v>
      </c>
      <c r="B66" s="2" t="s">
        <v>26</v>
      </c>
      <c r="D66" s="4"/>
    </row>
    <row r="67" spans="1:4" ht="13">
      <c r="A67" s="5" t="s">
        <v>89</v>
      </c>
      <c r="B67" s="2" t="s">
        <v>20</v>
      </c>
      <c r="D67" s="4"/>
    </row>
    <row r="68" spans="1:4" ht="13">
      <c r="A68" s="5" t="s">
        <v>90</v>
      </c>
      <c r="B68" s="2" t="s">
        <v>91</v>
      </c>
      <c r="D68" s="4"/>
    </row>
    <row r="69" spans="1:4" ht="13">
      <c r="A69" s="5" t="s">
        <v>92</v>
      </c>
      <c r="B69" s="2" t="s">
        <v>5</v>
      </c>
      <c r="D69" s="4"/>
    </row>
    <row r="70" spans="1:4" ht="13">
      <c r="A70" s="5" t="s">
        <v>93</v>
      </c>
      <c r="B70" s="2" t="s">
        <v>94</v>
      </c>
      <c r="D70" s="4"/>
    </row>
    <row r="71" spans="1:4" ht="13">
      <c r="A71" s="5" t="s">
        <v>95</v>
      </c>
      <c r="B71" s="2" t="s">
        <v>5</v>
      </c>
      <c r="D71" s="4"/>
    </row>
    <row r="72" spans="1:4" ht="13">
      <c r="A72" s="5" t="s">
        <v>96</v>
      </c>
      <c r="B72" s="2" t="s">
        <v>97</v>
      </c>
      <c r="D72" s="4"/>
    </row>
    <row r="73" spans="1:4" ht="13">
      <c r="A73" s="5" t="s">
        <v>98</v>
      </c>
      <c r="B73" s="2" t="s">
        <v>5</v>
      </c>
      <c r="D73" s="4"/>
    </row>
    <row r="74" spans="1:4" ht="13">
      <c r="A74" s="5" t="s">
        <v>99</v>
      </c>
      <c r="B74" s="2" t="s">
        <v>26</v>
      </c>
      <c r="D74" s="4"/>
    </row>
    <row r="75" spans="1:4" ht="13">
      <c r="A75" s="5" t="s">
        <v>100</v>
      </c>
      <c r="B75" s="2" t="s">
        <v>70</v>
      </c>
      <c r="D75" s="4"/>
    </row>
    <row r="76" spans="1:4" ht="13">
      <c r="A76" s="5" t="s">
        <v>101</v>
      </c>
      <c r="B76" s="2" t="s">
        <v>5</v>
      </c>
      <c r="D76" s="4"/>
    </row>
    <row r="77" spans="1:4" ht="13">
      <c r="A77" s="5" t="s">
        <v>102</v>
      </c>
      <c r="B77" s="2" t="s">
        <v>51</v>
      </c>
      <c r="D77" s="4"/>
    </row>
    <row r="78" spans="1:4" ht="13">
      <c r="A78" s="5" t="s">
        <v>103</v>
      </c>
      <c r="B78" s="2" t="s">
        <v>43</v>
      </c>
      <c r="D78" s="4"/>
    </row>
    <row r="79" spans="1:4" ht="13">
      <c r="A79" s="5" t="s">
        <v>104</v>
      </c>
      <c r="B79" s="2" t="s">
        <v>14</v>
      </c>
      <c r="D79" s="4"/>
    </row>
    <row r="80" spans="1:4" ht="13">
      <c r="A80" s="5" t="s">
        <v>105</v>
      </c>
      <c r="B80" s="2" t="s">
        <v>26</v>
      </c>
      <c r="D80" s="4"/>
    </row>
    <row r="81" spans="1:4" ht="13">
      <c r="A81" s="5" t="s">
        <v>106</v>
      </c>
      <c r="B81" s="2" t="s">
        <v>23</v>
      </c>
      <c r="D81" s="4"/>
    </row>
    <row r="82" spans="1:4" ht="13">
      <c r="A82" s="5" t="s">
        <v>107</v>
      </c>
      <c r="B82" s="2" t="s">
        <v>14</v>
      </c>
      <c r="D82" s="4"/>
    </row>
    <row r="83" spans="1:4" ht="13">
      <c r="A83" s="5" t="s">
        <v>108</v>
      </c>
      <c r="B83" s="2" t="s">
        <v>7</v>
      </c>
      <c r="D83" s="4"/>
    </row>
    <row r="84" spans="1:4" ht="13">
      <c r="A84" s="5" t="s">
        <v>109</v>
      </c>
      <c r="B84" s="2" t="s">
        <v>14</v>
      </c>
      <c r="D84" s="4"/>
    </row>
    <row r="85" spans="1:4" ht="13">
      <c r="A85" s="5" t="s">
        <v>110</v>
      </c>
      <c r="B85" s="2" t="s">
        <v>14</v>
      </c>
      <c r="D85" s="4"/>
    </row>
    <row r="86" spans="1:4" ht="13">
      <c r="A86" s="5" t="s">
        <v>111</v>
      </c>
      <c r="B86" s="2" t="s">
        <v>31</v>
      </c>
      <c r="D86" s="4"/>
    </row>
    <row r="87" spans="1:4" ht="13">
      <c r="A87" s="5" t="s">
        <v>112</v>
      </c>
      <c r="B87" s="2" t="s">
        <v>14</v>
      </c>
      <c r="D87" s="4"/>
    </row>
    <row r="88" spans="1:4" ht="13">
      <c r="A88" s="5" t="s">
        <v>113</v>
      </c>
      <c r="B88" s="2" t="s">
        <v>5</v>
      </c>
      <c r="D88" s="4"/>
    </row>
    <row r="89" spans="1:4" ht="13">
      <c r="A89" s="5" t="s">
        <v>114</v>
      </c>
      <c r="B89" s="2" t="s">
        <v>45</v>
      </c>
      <c r="D89" s="4"/>
    </row>
    <row r="90" spans="1:4" ht="13">
      <c r="A90" s="5" t="s">
        <v>115</v>
      </c>
      <c r="B90" s="2" t="s">
        <v>85</v>
      </c>
      <c r="D90" s="4"/>
    </row>
    <row r="91" spans="1:4" ht="13">
      <c r="A91" s="5" t="s">
        <v>116</v>
      </c>
      <c r="B91" s="2" t="s">
        <v>9</v>
      </c>
      <c r="D91" s="4"/>
    </row>
    <row r="92" spans="1:4" ht="13">
      <c r="A92" s="5" t="s">
        <v>117</v>
      </c>
      <c r="B92" s="2" t="s">
        <v>20</v>
      </c>
      <c r="D92" s="4"/>
    </row>
    <row r="93" spans="1:4" ht="13">
      <c r="A93" s="5" t="s">
        <v>118</v>
      </c>
      <c r="B93" s="2" t="s">
        <v>20</v>
      </c>
      <c r="D93" s="4"/>
    </row>
    <row r="94" spans="1:4" ht="13">
      <c r="A94" s="5" t="s">
        <v>119</v>
      </c>
      <c r="B94" s="2" t="s">
        <v>14</v>
      </c>
      <c r="D94" s="4"/>
    </row>
    <row r="95" spans="1:4" ht="13">
      <c r="A95" s="5" t="s">
        <v>120</v>
      </c>
      <c r="B95" s="2" t="s">
        <v>121</v>
      </c>
      <c r="C95" s="2" t="s">
        <v>26</v>
      </c>
      <c r="D95" s="4"/>
    </row>
    <row r="96" spans="1:4" ht="13">
      <c r="A96" s="5" t="s">
        <v>122</v>
      </c>
      <c r="B96" s="2" t="s">
        <v>7</v>
      </c>
      <c r="D96" s="4"/>
    </row>
    <row r="97" spans="1:4" ht="13">
      <c r="A97" s="5" t="s">
        <v>123</v>
      </c>
      <c r="B97" s="2" t="s">
        <v>22</v>
      </c>
      <c r="D97" s="4"/>
    </row>
    <row r="98" spans="1:4" ht="13">
      <c r="A98" s="5" t="s">
        <v>124</v>
      </c>
      <c r="B98" s="2" t="s">
        <v>5</v>
      </c>
      <c r="D98" s="4"/>
    </row>
    <row r="99" spans="1:4" ht="13">
      <c r="A99" s="5" t="s">
        <v>125</v>
      </c>
      <c r="B99" s="2" t="s">
        <v>5</v>
      </c>
      <c r="D99" s="4"/>
    </row>
    <row r="100" spans="1:4" ht="13">
      <c r="A100" s="5" t="s">
        <v>126</v>
      </c>
      <c r="B100" s="2" t="s">
        <v>7</v>
      </c>
      <c r="D100" s="4"/>
    </row>
    <row r="101" spans="1:4" ht="13">
      <c r="A101" s="5" t="s">
        <v>127</v>
      </c>
      <c r="B101" s="2" t="s">
        <v>45</v>
      </c>
      <c r="D101" s="4"/>
    </row>
    <row r="102" spans="1:4" ht="13">
      <c r="A102" s="5" t="s">
        <v>128</v>
      </c>
      <c r="B102" s="2" t="s">
        <v>3</v>
      </c>
      <c r="D102" s="4"/>
    </row>
    <row r="103" spans="1:4" ht="13">
      <c r="A103" s="5" t="s">
        <v>129</v>
      </c>
      <c r="B103" s="2" t="s">
        <v>130</v>
      </c>
      <c r="D103" s="4"/>
    </row>
    <row r="104" spans="1:4" ht="13">
      <c r="A104" s="5" t="s">
        <v>131</v>
      </c>
      <c r="B104" s="2" t="s">
        <v>91</v>
      </c>
      <c r="D104" s="4"/>
    </row>
    <row r="105" spans="1:4" ht="13">
      <c r="A105" s="5" t="s">
        <v>132</v>
      </c>
      <c r="B105" s="2" t="s">
        <v>5</v>
      </c>
      <c r="D105" s="4"/>
    </row>
    <row r="106" spans="1:4" ht="13">
      <c r="A106" s="5" t="s">
        <v>133</v>
      </c>
      <c r="B106" s="2" t="s">
        <v>134</v>
      </c>
      <c r="D106" s="4"/>
    </row>
    <row r="107" spans="1:4" ht="13">
      <c r="A107" s="5" t="s">
        <v>135</v>
      </c>
      <c r="B107" s="2" t="s">
        <v>5</v>
      </c>
      <c r="D107" s="4"/>
    </row>
    <row r="108" spans="1:4" ht="13">
      <c r="A108" s="5" t="s">
        <v>136</v>
      </c>
      <c r="B108" s="2" t="s">
        <v>94</v>
      </c>
      <c r="D108" s="4"/>
    </row>
    <row r="109" spans="1:4" ht="13">
      <c r="A109" s="5" t="s">
        <v>137</v>
      </c>
      <c r="B109" s="2" t="s">
        <v>91</v>
      </c>
      <c r="D109" s="4"/>
    </row>
    <row r="110" spans="1:4" ht="13">
      <c r="A110" s="5" t="s">
        <v>138</v>
      </c>
      <c r="B110" s="2" t="s">
        <v>45</v>
      </c>
      <c r="D110" s="4"/>
    </row>
    <row r="111" spans="1:4" ht="13">
      <c r="A111" s="5" t="s">
        <v>139</v>
      </c>
      <c r="B111" s="2" t="s">
        <v>14</v>
      </c>
      <c r="D111" s="4"/>
    </row>
    <row r="112" spans="1:4" ht="13">
      <c r="A112" s="5" t="s">
        <v>140</v>
      </c>
      <c r="B112" s="2" t="s">
        <v>130</v>
      </c>
      <c r="D112" s="4"/>
    </row>
    <row r="113" spans="1:4" ht="13">
      <c r="A113" s="5" t="s">
        <v>141</v>
      </c>
      <c r="B113" s="2" t="s">
        <v>20</v>
      </c>
      <c r="D113" s="4"/>
    </row>
    <row r="114" spans="1:4" ht="13">
      <c r="A114" s="5" t="s">
        <v>142</v>
      </c>
      <c r="B114" s="2" t="s">
        <v>14</v>
      </c>
      <c r="D114" s="4"/>
    </row>
    <row r="115" spans="1:4" ht="13">
      <c r="A115" s="5" t="s">
        <v>143</v>
      </c>
      <c r="B115" s="2" t="s">
        <v>20</v>
      </c>
      <c r="D115" s="4"/>
    </row>
    <row r="116" spans="1:4" ht="13">
      <c r="A116" s="5" t="s">
        <v>144</v>
      </c>
      <c r="B116" s="2" t="s">
        <v>130</v>
      </c>
      <c r="D116" s="4"/>
    </row>
    <row r="117" spans="1:4" ht="13">
      <c r="A117" s="5" t="s">
        <v>145</v>
      </c>
      <c r="B117" s="2" t="s">
        <v>43</v>
      </c>
      <c r="D117" s="4"/>
    </row>
    <row r="118" spans="1:4" ht="13">
      <c r="A118" s="5" t="s">
        <v>146</v>
      </c>
      <c r="B118" s="2" t="s">
        <v>70</v>
      </c>
      <c r="D118" s="4"/>
    </row>
    <row r="119" spans="1:4" ht="13">
      <c r="A119" s="5" t="s">
        <v>147</v>
      </c>
      <c r="B119" s="2" t="s">
        <v>148</v>
      </c>
      <c r="D119" s="4"/>
    </row>
    <row r="120" spans="1:4" ht="13">
      <c r="A120" s="5" t="s">
        <v>149</v>
      </c>
      <c r="B120" s="2" t="s">
        <v>63</v>
      </c>
      <c r="C120" s="2" t="s">
        <v>14</v>
      </c>
      <c r="D120" s="4"/>
    </row>
    <row r="121" spans="1:4" ht="13">
      <c r="A121" s="5" t="s">
        <v>150</v>
      </c>
      <c r="B121" s="2" t="s">
        <v>27</v>
      </c>
      <c r="C121" s="2"/>
      <c r="D121" s="4"/>
    </row>
    <row r="122" spans="1:4" ht="13">
      <c r="A122" s="5" t="s">
        <v>151</v>
      </c>
      <c r="B122" s="2" t="s">
        <v>45</v>
      </c>
      <c r="D122" s="4"/>
    </row>
    <row r="123" spans="1:4" ht="13">
      <c r="A123" s="5" t="s">
        <v>152</v>
      </c>
      <c r="B123" s="2" t="s">
        <v>153</v>
      </c>
      <c r="D123" s="4"/>
    </row>
    <row r="124" spans="1:4" ht="13">
      <c r="A124" s="5" t="s">
        <v>154</v>
      </c>
      <c r="B124" s="2" t="s">
        <v>20</v>
      </c>
      <c r="D124" s="4"/>
    </row>
    <row r="125" spans="1:4" ht="13">
      <c r="A125" s="5" t="s">
        <v>155</v>
      </c>
      <c r="B125" s="2" t="s">
        <v>9</v>
      </c>
      <c r="D125" s="4"/>
    </row>
    <row r="126" spans="1:4" ht="13">
      <c r="A126" s="5" t="s">
        <v>156</v>
      </c>
      <c r="B126" s="2" t="s">
        <v>14</v>
      </c>
      <c r="D126" s="4"/>
    </row>
    <row r="127" spans="1:4" ht="13">
      <c r="A127" s="5" t="s">
        <v>157</v>
      </c>
      <c r="B127" s="2" t="s">
        <v>20</v>
      </c>
      <c r="D127" s="4"/>
    </row>
    <row r="128" spans="1:4" ht="13">
      <c r="A128" s="5" t="s">
        <v>158</v>
      </c>
      <c r="B128" s="2" t="s">
        <v>9</v>
      </c>
      <c r="D128" s="4"/>
    </row>
    <row r="129" spans="1:4" ht="13">
      <c r="A129" s="5" t="s">
        <v>159</v>
      </c>
      <c r="B129" s="2" t="s">
        <v>160</v>
      </c>
      <c r="D129" s="4"/>
    </row>
    <row r="130" spans="1:4" ht="13">
      <c r="A130" s="5" t="s">
        <v>161</v>
      </c>
      <c r="B130" s="2" t="s">
        <v>45</v>
      </c>
      <c r="D130" s="4"/>
    </row>
    <row r="131" spans="1:4" ht="13">
      <c r="A131" s="5" t="s">
        <v>162</v>
      </c>
      <c r="B131" s="2" t="s">
        <v>63</v>
      </c>
      <c r="D131" s="4"/>
    </row>
    <row r="132" spans="1:4" ht="13">
      <c r="A132" s="5" t="s">
        <v>163</v>
      </c>
      <c r="B132" s="2" t="s">
        <v>45</v>
      </c>
      <c r="D132" s="4"/>
    </row>
    <row r="133" spans="1:4" ht="13">
      <c r="A133" s="5" t="s">
        <v>164</v>
      </c>
      <c r="B133" s="2" t="s">
        <v>45</v>
      </c>
      <c r="D133" s="4"/>
    </row>
    <row r="134" spans="1:4" ht="13">
      <c r="A134" s="5" t="s">
        <v>165</v>
      </c>
      <c r="B134" s="2" t="s">
        <v>5</v>
      </c>
      <c r="D134" s="4"/>
    </row>
    <row r="135" spans="1:4" ht="13">
      <c r="A135" s="5" t="s">
        <v>166</v>
      </c>
      <c r="B135" s="2" t="s">
        <v>63</v>
      </c>
      <c r="D135" s="4"/>
    </row>
    <row r="136" spans="1:4" ht="13">
      <c r="A136" s="5" t="s">
        <v>167</v>
      </c>
      <c r="B136" s="2" t="s">
        <v>20</v>
      </c>
      <c r="D136" s="4"/>
    </row>
    <row r="137" spans="1:4" ht="13">
      <c r="A137" s="5" t="s">
        <v>168</v>
      </c>
      <c r="B137" s="2" t="s">
        <v>51</v>
      </c>
      <c r="D137" s="4"/>
    </row>
    <row r="138" spans="1:4" ht="13">
      <c r="A138" s="5" t="s">
        <v>169</v>
      </c>
      <c r="B138" s="2" t="s">
        <v>51</v>
      </c>
      <c r="D138" s="4"/>
    </row>
    <row r="139" spans="1:4" ht="13">
      <c r="A139" s="5" t="s">
        <v>170</v>
      </c>
      <c r="B139" s="2" t="s">
        <v>34</v>
      </c>
      <c r="D139" s="4"/>
    </row>
    <row r="140" spans="1:4" ht="13">
      <c r="A140" s="5" t="s">
        <v>171</v>
      </c>
      <c r="B140" s="2" t="s">
        <v>5</v>
      </c>
      <c r="D140" s="4"/>
    </row>
    <row r="141" spans="1:4" ht="13">
      <c r="A141" s="5" t="s">
        <v>172</v>
      </c>
      <c r="B141" s="2" t="s">
        <v>5</v>
      </c>
      <c r="D141" s="4"/>
    </row>
    <row r="142" spans="1:4" ht="13">
      <c r="A142" s="5" t="s">
        <v>173</v>
      </c>
      <c r="B142" s="2" t="s">
        <v>14</v>
      </c>
      <c r="D142" s="4"/>
    </row>
    <row r="143" spans="1:4" ht="13">
      <c r="A143" s="5" t="s">
        <v>174</v>
      </c>
      <c r="B143" s="2" t="s">
        <v>20</v>
      </c>
      <c r="D143" s="4"/>
    </row>
    <row r="144" spans="1:4" ht="13">
      <c r="A144" s="5" t="s">
        <v>175</v>
      </c>
      <c r="B144" s="2" t="s">
        <v>31</v>
      </c>
      <c r="D144" s="4"/>
    </row>
    <row r="145" spans="1:4" ht="13">
      <c r="A145" s="5" t="s">
        <v>176</v>
      </c>
      <c r="B145" s="2" t="s">
        <v>91</v>
      </c>
      <c r="D145" s="4"/>
    </row>
    <row r="146" spans="1:4" ht="13">
      <c r="A146" s="5" t="s">
        <v>177</v>
      </c>
      <c r="B146" s="2" t="s">
        <v>130</v>
      </c>
      <c r="D146" s="4"/>
    </row>
    <row r="147" spans="1:4" ht="13">
      <c r="A147" s="5" t="s">
        <v>178</v>
      </c>
      <c r="B147" s="2" t="s">
        <v>179</v>
      </c>
      <c r="D147" s="4"/>
    </row>
    <row r="148" spans="1:4" ht="13">
      <c r="A148" s="5" t="s">
        <v>180</v>
      </c>
      <c r="B148" s="2" t="s">
        <v>14</v>
      </c>
      <c r="D148" s="4"/>
    </row>
    <row r="149" spans="1:4" ht="13">
      <c r="A149" s="5" t="s">
        <v>181</v>
      </c>
      <c r="B149" s="2" t="s">
        <v>20</v>
      </c>
      <c r="D149" s="4"/>
    </row>
    <row r="150" spans="1:4" ht="13">
      <c r="A150" s="5" t="s">
        <v>182</v>
      </c>
      <c r="B150" s="2" t="s">
        <v>20</v>
      </c>
      <c r="D150" s="4"/>
    </row>
    <row r="151" spans="1:4" ht="13">
      <c r="A151" s="5" t="s">
        <v>183</v>
      </c>
      <c r="B151" s="2" t="s">
        <v>9</v>
      </c>
      <c r="D151" s="4"/>
    </row>
    <row r="152" spans="1:4" ht="13">
      <c r="A152" s="5" t="s">
        <v>184</v>
      </c>
      <c r="B152" s="2" t="s">
        <v>5</v>
      </c>
      <c r="D152" s="4"/>
    </row>
    <row r="153" spans="1:4" ht="13">
      <c r="A153" s="5" t="s">
        <v>185</v>
      </c>
      <c r="B153" s="2" t="s">
        <v>51</v>
      </c>
      <c r="D153" s="4"/>
    </row>
    <row r="154" spans="1:4" ht="13">
      <c r="A154" s="5" t="s">
        <v>186</v>
      </c>
      <c r="B154" s="2" t="s">
        <v>7</v>
      </c>
      <c r="C154" s="2" t="s">
        <v>130</v>
      </c>
      <c r="D154" s="4"/>
    </row>
    <row r="155" spans="1:4" ht="13">
      <c r="A155" s="5" t="s">
        <v>187</v>
      </c>
      <c r="B155" s="2" t="s">
        <v>23</v>
      </c>
      <c r="C155" s="2" t="s">
        <v>34</v>
      </c>
      <c r="D155" s="4"/>
    </row>
    <row r="156" spans="1:4" ht="13">
      <c r="A156" s="5" t="s">
        <v>188</v>
      </c>
      <c r="B156" s="2" t="s">
        <v>14</v>
      </c>
      <c r="C156" s="2" t="s">
        <v>27</v>
      </c>
      <c r="D156" s="4"/>
    </row>
    <row r="157" spans="1:4" ht="13">
      <c r="A157" s="5" t="s">
        <v>189</v>
      </c>
      <c r="B157" s="2" t="s">
        <v>91</v>
      </c>
      <c r="D157" s="4"/>
    </row>
    <row r="158" spans="1:4" ht="13">
      <c r="A158" s="5" t="s">
        <v>190</v>
      </c>
      <c r="B158" s="2" t="s">
        <v>20</v>
      </c>
      <c r="D158" s="4"/>
    </row>
    <row r="159" spans="1:4" ht="13">
      <c r="A159" s="5" t="s">
        <v>191</v>
      </c>
      <c r="B159" s="2" t="s">
        <v>20</v>
      </c>
      <c r="D159" s="4"/>
    </row>
    <row r="160" spans="1:4" ht="13">
      <c r="A160" s="5" t="s">
        <v>192</v>
      </c>
      <c r="B160" s="2" t="s">
        <v>14</v>
      </c>
      <c r="D160" s="4"/>
    </row>
    <row r="161" spans="1:4" ht="13">
      <c r="A161" s="5" t="s">
        <v>193</v>
      </c>
      <c r="B161" s="2" t="s">
        <v>20</v>
      </c>
      <c r="D161" s="4"/>
    </row>
    <row r="162" spans="1:4" ht="13">
      <c r="A162" s="5" t="s">
        <v>194</v>
      </c>
      <c r="B162" s="2" t="s">
        <v>195</v>
      </c>
      <c r="D162" s="4"/>
    </row>
    <row r="163" spans="1:4" ht="13">
      <c r="A163" s="5" t="s">
        <v>196</v>
      </c>
      <c r="B163" s="2" t="s">
        <v>14</v>
      </c>
      <c r="C163" s="2" t="s">
        <v>197</v>
      </c>
      <c r="D163" s="4"/>
    </row>
    <row r="164" spans="1:4" ht="13">
      <c r="A164" s="5" t="s">
        <v>198</v>
      </c>
      <c r="B164" s="2" t="s">
        <v>14</v>
      </c>
      <c r="D164" s="4"/>
    </row>
    <row r="165" spans="1:4" ht="13">
      <c r="A165" s="5" t="s">
        <v>199</v>
      </c>
      <c r="B165" s="2" t="s">
        <v>179</v>
      </c>
      <c r="D165" s="4"/>
    </row>
    <row r="166" spans="1:4" ht="13">
      <c r="A166" s="5" t="s">
        <v>200</v>
      </c>
      <c r="B166" s="2" t="s">
        <v>5</v>
      </c>
      <c r="D166" s="4"/>
    </row>
    <row r="167" spans="1:4" ht="13">
      <c r="A167" s="5" t="s">
        <v>201</v>
      </c>
      <c r="B167" s="2" t="s">
        <v>14</v>
      </c>
      <c r="C167" s="2" t="s">
        <v>197</v>
      </c>
      <c r="D167" s="4"/>
    </row>
    <row r="168" spans="1:4" ht="13">
      <c r="A168" s="5" t="s">
        <v>202</v>
      </c>
      <c r="B168" s="2" t="s">
        <v>9</v>
      </c>
      <c r="D168" s="4"/>
    </row>
    <row r="169" spans="1:4" ht="13">
      <c r="A169" s="5" t="s">
        <v>203</v>
      </c>
      <c r="B169" s="2" t="s">
        <v>5</v>
      </c>
      <c r="D169" s="4"/>
    </row>
    <row r="170" spans="1:4" ht="13">
      <c r="A170" s="5" t="s">
        <v>204</v>
      </c>
      <c r="B170" s="2" t="s">
        <v>20</v>
      </c>
      <c r="D170" s="4"/>
    </row>
    <row r="171" spans="1:4" ht="13">
      <c r="A171" s="5" t="s">
        <v>205</v>
      </c>
      <c r="B171" s="2" t="s">
        <v>5</v>
      </c>
      <c r="D171" s="4"/>
    </row>
    <row r="172" spans="1:4" ht="13">
      <c r="A172" s="5" t="s">
        <v>206</v>
      </c>
      <c r="B172" s="2" t="s">
        <v>27</v>
      </c>
      <c r="D172" s="4"/>
    </row>
    <row r="173" spans="1:4" ht="13">
      <c r="A173" s="5" t="s">
        <v>207</v>
      </c>
      <c r="B173" s="2" t="s">
        <v>5</v>
      </c>
      <c r="D173" s="4"/>
    </row>
    <row r="174" spans="1:4" ht="13">
      <c r="A174" s="5" t="s">
        <v>208</v>
      </c>
      <c r="B174" s="2" t="s">
        <v>14</v>
      </c>
      <c r="D174" s="4"/>
    </row>
    <row r="175" spans="1:4" ht="13">
      <c r="A175" s="5" t="s">
        <v>209</v>
      </c>
      <c r="B175" s="2" t="s">
        <v>20</v>
      </c>
      <c r="D175" s="4"/>
    </row>
    <row r="176" spans="1:4" ht="13">
      <c r="A176" s="5" t="s">
        <v>210</v>
      </c>
      <c r="B176" s="2" t="s">
        <v>85</v>
      </c>
      <c r="D176" s="4"/>
    </row>
    <row r="177" spans="1:4" ht="13">
      <c r="A177" s="5" t="s">
        <v>211</v>
      </c>
      <c r="B177" s="2" t="s">
        <v>91</v>
      </c>
      <c r="D177" s="4"/>
    </row>
    <row r="178" spans="1:4" ht="13">
      <c r="A178" s="5" t="s">
        <v>212</v>
      </c>
      <c r="B178" s="2" t="s">
        <v>63</v>
      </c>
      <c r="D178" s="4"/>
    </row>
    <row r="179" spans="1:4" ht="13">
      <c r="A179" s="5" t="s">
        <v>213</v>
      </c>
      <c r="B179" s="2" t="s">
        <v>51</v>
      </c>
      <c r="D179" s="4"/>
    </row>
    <row r="180" spans="1:4" ht="13">
      <c r="A180" s="5" t="s">
        <v>214</v>
      </c>
      <c r="B180" s="2" t="s">
        <v>34</v>
      </c>
      <c r="D180" s="4"/>
    </row>
    <row r="181" spans="1:4" ht="13">
      <c r="A181" s="5" t="s">
        <v>215</v>
      </c>
      <c r="B181" s="2" t="s">
        <v>5</v>
      </c>
      <c r="D181" s="4"/>
    </row>
    <row r="182" spans="1:4" ht="13">
      <c r="A182" s="5" t="s">
        <v>216</v>
      </c>
      <c r="B182" s="2" t="s">
        <v>130</v>
      </c>
      <c r="D182" s="4"/>
    </row>
    <row r="183" spans="1:4" ht="13">
      <c r="A183" s="5" t="s">
        <v>217</v>
      </c>
      <c r="B183" s="2" t="s">
        <v>5</v>
      </c>
      <c r="D183" s="4"/>
    </row>
    <row r="184" spans="1:4" ht="13">
      <c r="A184" s="5" t="s">
        <v>218</v>
      </c>
      <c r="B184" s="2" t="s">
        <v>14</v>
      </c>
      <c r="D184" s="4"/>
    </row>
    <row r="185" spans="1:4" ht="13">
      <c r="A185" s="5" t="s">
        <v>219</v>
      </c>
      <c r="B185" s="2" t="s">
        <v>14</v>
      </c>
      <c r="C185" s="2" t="s">
        <v>18</v>
      </c>
      <c r="D185" s="4"/>
    </row>
    <row r="186" spans="1:4" ht="13">
      <c r="A186" s="5" t="s">
        <v>220</v>
      </c>
      <c r="B186" s="2" t="s">
        <v>9</v>
      </c>
      <c r="D186" s="4"/>
    </row>
    <row r="187" spans="1:4" ht="13">
      <c r="A187" s="5" t="s">
        <v>221</v>
      </c>
      <c r="B187" s="2" t="s">
        <v>9</v>
      </c>
      <c r="D187" s="4"/>
    </row>
    <row r="188" spans="1:4" ht="13">
      <c r="A188" s="5" t="s">
        <v>222</v>
      </c>
      <c r="B188" s="2" t="s">
        <v>9</v>
      </c>
      <c r="D188" s="4"/>
    </row>
    <row r="189" spans="1:4" ht="13">
      <c r="A189" s="5" t="s">
        <v>223</v>
      </c>
      <c r="B189" s="2" t="s">
        <v>9</v>
      </c>
      <c r="D189" s="4"/>
    </row>
    <row r="190" spans="1:4" ht="13">
      <c r="A190" s="5" t="s">
        <v>224</v>
      </c>
      <c r="B190" s="2" t="s">
        <v>20</v>
      </c>
      <c r="D190" s="4"/>
    </row>
    <row r="191" spans="1:4" ht="13">
      <c r="A191" s="5" t="s">
        <v>225</v>
      </c>
      <c r="B191" s="2" t="s">
        <v>121</v>
      </c>
      <c r="D191" s="4"/>
    </row>
    <row r="192" spans="1:4" ht="13">
      <c r="A192" s="5" t="s">
        <v>226</v>
      </c>
      <c r="B192" s="2" t="s">
        <v>51</v>
      </c>
      <c r="D192" s="4"/>
    </row>
    <row r="193" spans="1:4" ht="13">
      <c r="A193" s="5" t="s">
        <v>227</v>
      </c>
      <c r="B193" s="2" t="s">
        <v>20</v>
      </c>
      <c r="D193" s="4"/>
    </row>
    <row r="194" spans="1:4" ht="13">
      <c r="A194" s="5" t="s">
        <v>228</v>
      </c>
      <c r="B194" s="2" t="s">
        <v>51</v>
      </c>
      <c r="D194" s="4"/>
    </row>
    <row r="195" spans="1:4" ht="13">
      <c r="A195" s="5" t="s">
        <v>229</v>
      </c>
      <c r="B195" s="2" t="s">
        <v>9</v>
      </c>
      <c r="D195" s="4"/>
    </row>
    <row r="196" spans="1:4" ht="13">
      <c r="A196" s="5" t="s">
        <v>230</v>
      </c>
      <c r="B196" s="2" t="s">
        <v>5</v>
      </c>
      <c r="D196" s="4"/>
    </row>
    <row r="197" spans="1:4" ht="13">
      <c r="A197" s="5" t="s">
        <v>231</v>
      </c>
      <c r="B197" s="2" t="s">
        <v>14</v>
      </c>
      <c r="D197" s="4"/>
    </row>
    <row r="198" spans="1:4" ht="13">
      <c r="A198" s="5" t="s">
        <v>232</v>
      </c>
      <c r="B198" s="2" t="s">
        <v>20</v>
      </c>
      <c r="D198" s="4"/>
    </row>
    <row r="199" spans="1:4" ht="13">
      <c r="A199" s="5" t="s">
        <v>233</v>
      </c>
      <c r="B199" s="2" t="s">
        <v>14</v>
      </c>
      <c r="C199" s="2" t="s">
        <v>197</v>
      </c>
      <c r="D199" s="4"/>
    </row>
    <row r="200" spans="1:4" ht="13">
      <c r="A200" s="5" t="s">
        <v>234</v>
      </c>
      <c r="B200" s="2" t="s">
        <v>23</v>
      </c>
      <c r="D200" s="4"/>
    </row>
    <row r="201" spans="1:4" ht="13">
      <c r="A201" s="5" t="s">
        <v>235</v>
      </c>
      <c r="B201" s="2" t="s">
        <v>5</v>
      </c>
      <c r="D201" s="4"/>
    </row>
    <row r="202" spans="1:4" ht="13">
      <c r="A202" s="5" t="s">
        <v>236</v>
      </c>
      <c r="B202" s="2" t="s">
        <v>31</v>
      </c>
      <c r="D202" s="4"/>
    </row>
    <row r="203" spans="1:4" ht="13">
      <c r="A203" s="5" t="s">
        <v>237</v>
      </c>
      <c r="B203" s="2" t="s">
        <v>5</v>
      </c>
      <c r="D203" s="4"/>
    </row>
    <row r="204" spans="1:4" ht="13">
      <c r="A204" s="5" t="s">
        <v>238</v>
      </c>
      <c r="B204" s="2" t="s">
        <v>239</v>
      </c>
      <c r="D204" s="4"/>
    </row>
    <row r="205" spans="1:4" ht="13">
      <c r="A205" s="5" t="s">
        <v>240</v>
      </c>
      <c r="B205" s="2" t="s">
        <v>31</v>
      </c>
      <c r="D205" s="4"/>
    </row>
    <row r="206" spans="1:4" ht="13">
      <c r="A206" s="5" t="s">
        <v>241</v>
      </c>
      <c r="B206" s="2" t="s">
        <v>5</v>
      </c>
      <c r="D206" s="4"/>
    </row>
    <row r="207" spans="1:4" ht="13">
      <c r="A207" s="5" t="s">
        <v>242</v>
      </c>
      <c r="B207" s="2" t="s">
        <v>20</v>
      </c>
      <c r="D207" s="4"/>
    </row>
    <row r="208" spans="1:4" ht="13">
      <c r="A208" s="5" t="s">
        <v>243</v>
      </c>
      <c r="B208" s="2" t="s">
        <v>5</v>
      </c>
      <c r="D208" s="4"/>
    </row>
    <row r="209" spans="1:4" ht="13">
      <c r="A209" s="5" t="s">
        <v>244</v>
      </c>
      <c r="B209" s="2" t="s">
        <v>51</v>
      </c>
      <c r="D209" s="4"/>
    </row>
    <row r="210" spans="1:4" ht="13">
      <c r="A210" s="5" t="s">
        <v>245</v>
      </c>
      <c r="B210" s="2" t="s">
        <v>9</v>
      </c>
      <c r="D210" s="4"/>
    </row>
    <row r="211" spans="1:4" ht="13">
      <c r="A211" s="5" t="s">
        <v>246</v>
      </c>
      <c r="B211" s="2" t="s">
        <v>20</v>
      </c>
      <c r="D211" s="4"/>
    </row>
    <row r="212" spans="1:4" ht="13">
      <c r="A212" s="5" t="s">
        <v>247</v>
      </c>
      <c r="B212" s="2" t="s">
        <v>239</v>
      </c>
      <c r="D212" s="4"/>
    </row>
    <row r="213" spans="1:4" ht="13">
      <c r="A213" s="5" t="s">
        <v>248</v>
      </c>
      <c r="B213" s="2" t="s">
        <v>20</v>
      </c>
      <c r="D213" s="4"/>
    </row>
    <row r="214" spans="1:4" ht="13">
      <c r="A214" s="5" t="s">
        <v>249</v>
      </c>
      <c r="B214" s="2" t="s">
        <v>26</v>
      </c>
      <c r="D214" s="4"/>
    </row>
    <row r="215" spans="1:4" ht="13">
      <c r="A215" s="5" t="s">
        <v>250</v>
      </c>
      <c r="B215" s="2" t="s">
        <v>63</v>
      </c>
      <c r="D215" s="4"/>
    </row>
    <row r="216" spans="1:4" ht="13">
      <c r="A216" s="5" t="s">
        <v>251</v>
      </c>
      <c r="B216" s="2" t="s">
        <v>5</v>
      </c>
      <c r="D216" s="4"/>
    </row>
    <row r="217" spans="1:4" ht="13">
      <c r="A217" s="5" t="s">
        <v>252</v>
      </c>
      <c r="B217" s="2" t="s">
        <v>9</v>
      </c>
      <c r="D217" s="4"/>
    </row>
    <row r="218" spans="1:4" ht="13">
      <c r="A218" s="5" t="s">
        <v>253</v>
      </c>
      <c r="B218" s="2" t="s">
        <v>51</v>
      </c>
      <c r="D218" s="4"/>
    </row>
    <row r="219" spans="1:4" ht="13">
      <c r="A219" s="5" t="s">
        <v>254</v>
      </c>
      <c r="B219" s="2" t="s">
        <v>91</v>
      </c>
      <c r="D219" s="4"/>
    </row>
    <row r="220" spans="1:4" ht="13">
      <c r="A220" s="5" t="s">
        <v>255</v>
      </c>
      <c r="B220" s="2" t="s">
        <v>130</v>
      </c>
      <c r="D220" s="4"/>
    </row>
    <row r="221" spans="1:4" ht="13">
      <c r="A221" s="5" t="s">
        <v>256</v>
      </c>
      <c r="B221" s="2" t="s">
        <v>75</v>
      </c>
      <c r="D221" s="4"/>
    </row>
    <row r="222" spans="1:4" ht="13">
      <c r="A222" s="5" t="s">
        <v>257</v>
      </c>
      <c r="B222" s="2" t="s">
        <v>27</v>
      </c>
      <c r="D222" s="4"/>
    </row>
    <row r="223" spans="1:4" ht="13">
      <c r="A223" s="5" t="s">
        <v>258</v>
      </c>
      <c r="B223" s="2" t="s">
        <v>7</v>
      </c>
      <c r="D223" s="4"/>
    </row>
    <row r="224" spans="1:4" ht="13">
      <c r="A224" s="5" t="s">
        <v>259</v>
      </c>
      <c r="B224" s="2" t="s">
        <v>5</v>
      </c>
      <c r="D224" s="4"/>
    </row>
    <row r="225" spans="1:4" ht="13">
      <c r="A225" s="5" t="s">
        <v>260</v>
      </c>
      <c r="B225" s="2" t="s">
        <v>20</v>
      </c>
      <c r="D225" s="4"/>
    </row>
    <row r="226" spans="1:4" ht="13">
      <c r="A226" s="5" t="s">
        <v>261</v>
      </c>
      <c r="B226" s="2" t="s">
        <v>20</v>
      </c>
      <c r="D226" s="4"/>
    </row>
    <row r="227" spans="1:4" ht="13">
      <c r="A227" s="5" t="s">
        <v>262</v>
      </c>
      <c r="B227" s="2" t="s">
        <v>130</v>
      </c>
      <c r="D227" s="4"/>
    </row>
    <row r="228" spans="1:4" ht="13">
      <c r="A228" s="5" t="s">
        <v>263</v>
      </c>
      <c r="B228" s="2" t="s">
        <v>14</v>
      </c>
      <c r="D228" s="4"/>
    </row>
    <row r="229" spans="1:4" ht="13">
      <c r="A229" s="5" t="s">
        <v>264</v>
      </c>
      <c r="B229" s="2" t="s">
        <v>14</v>
      </c>
      <c r="D229" s="4"/>
    </row>
    <row r="230" spans="1:4" ht="13">
      <c r="A230" s="5" t="s">
        <v>265</v>
      </c>
      <c r="B230" s="2" t="s">
        <v>5</v>
      </c>
      <c r="D230" s="4"/>
    </row>
    <row r="231" spans="1:4" ht="13">
      <c r="A231" s="5" t="s">
        <v>266</v>
      </c>
      <c r="B231" s="2" t="s">
        <v>63</v>
      </c>
      <c r="D231" s="4"/>
    </row>
    <row r="232" spans="1:4" ht="13">
      <c r="A232" s="5" t="s">
        <v>267</v>
      </c>
      <c r="B232" s="2" t="s">
        <v>51</v>
      </c>
      <c r="C232" s="2" t="s">
        <v>121</v>
      </c>
      <c r="D232" s="4"/>
    </row>
    <row r="233" spans="1:4" ht="13">
      <c r="A233" s="5" t="s">
        <v>268</v>
      </c>
      <c r="B233" s="2" t="s">
        <v>63</v>
      </c>
      <c r="D233" s="4"/>
    </row>
    <row r="234" spans="1:4" ht="13">
      <c r="A234" s="5" t="s">
        <v>269</v>
      </c>
      <c r="B234" s="2" t="s">
        <v>179</v>
      </c>
      <c r="D234" s="4"/>
    </row>
    <row r="235" spans="1:4" ht="13">
      <c r="A235" s="5" t="s">
        <v>270</v>
      </c>
      <c r="B235" s="2" t="s">
        <v>14</v>
      </c>
      <c r="D235" s="4"/>
    </row>
    <row r="236" spans="1:4" ht="13">
      <c r="A236" s="5" t="s">
        <v>271</v>
      </c>
      <c r="B236" s="2" t="s">
        <v>130</v>
      </c>
      <c r="D236" s="4"/>
    </row>
    <row r="237" spans="1:4" ht="13">
      <c r="A237" s="5" t="s">
        <v>272</v>
      </c>
      <c r="B237" s="2" t="s">
        <v>43</v>
      </c>
      <c r="D237" s="4"/>
    </row>
    <row r="238" spans="1:4" ht="13">
      <c r="A238" s="5" t="s">
        <v>273</v>
      </c>
      <c r="B238" s="2" t="s">
        <v>134</v>
      </c>
      <c r="D238" s="4"/>
    </row>
    <row r="239" spans="1:4" ht="13">
      <c r="A239" s="5" t="s">
        <v>274</v>
      </c>
      <c r="B239" s="2" t="s">
        <v>9</v>
      </c>
      <c r="D239" s="4"/>
    </row>
    <row r="240" spans="1:4" ht="13">
      <c r="A240" s="5" t="s">
        <v>275</v>
      </c>
      <c r="B240" s="2" t="s">
        <v>130</v>
      </c>
      <c r="D240" s="4"/>
    </row>
    <row r="241" spans="1:4" ht="13">
      <c r="A241" s="5" t="s">
        <v>276</v>
      </c>
      <c r="B241" s="2" t="s">
        <v>20</v>
      </c>
      <c r="D241" s="4"/>
    </row>
    <row r="242" spans="1:4" ht="13">
      <c r="A242" s="5" t="s">
        <v>277</v>
      </c>
      <c r="B242" s="2" t="s">
        <v>20</v>
      </c>
      <c r="D242" s="4"/>
    </row>
    <row r="243" spans="1:4" ht="13">
      <c r="A243" s="5" t="s">
        <v>278</v>
      </c>
      <c r="B243" s="2" t="s">
        <v>5</v>
      </c>
      <c r="D243" s="4"/>
    </row>
    <row r="244" spans="1:4" ht="13">
      <c r="A244" s="5" t="s">
        <v>279</v>
      </c>
      <c r="B244" s="2" t="s">
        <v>14</v>
      </c>
      <c r="C244" s="2" t="s">
        <v>11</v>
      </c>
      <c r="D244" s="4"/>
    </row>
    <row r="245" spans="1:4" ht="13">
      <c r="A245" s="5" t="s">
        <v>280</v>
      </c>
      <c r="B245" s="2" t="s">
        <v>5</v>
      </c>
      <c r="D245" s="4"/>
    </row>
    <row r="246" spans="1:4" ht="13">
      <c r="A246" s="5" t="s">
        <v>281</v>
      </c>
      <c r="B246" s="2" t="s">
        <v>5</v>
      </c>
      <c r="D246" s="4"/>
    </row>
    <row r="247" spans="1:4" ht="13">
      <c r="A247" s="5" t="s">
        <v>282</v>
      </c>
      <c r="B247" s="2" t="s">
        <v>51</v>
      </c>
      <c r="D247" s="4"/>
    </row>
    <row r="248" spans="1:4" ht="13">
      <c r="A248" s="5" t="s">
        <v>283</v>
      </c>
      <c r="B248" s="2" t="s">
        <v>51</v>
      </c>
      <c r="D248" s="4"/>
    </row>
    <row r="249" spans="1:4" ht="13">
      <c r="A249" s="5" t="s">
        <v>284</v>
      </c>
      <c r="B249" s="2" t="s">
        <v>5</v>
      </c>
      <c r="D249" s="4"/>
    </row>
    <row r="250" spans="1:4" ht="13">
      <c r="A250" s="5" t="s">
        <v>285</v>
      </c>
      <c r="B250" s="2" t="s">
        <v>239</v>
      </c>
      <c r="D250" s="4"/>
    </row>
    <row r="251" spans="1:4" ht="13">
      <c r="A251" s="5" t="s">
        <v>286</v>
      </c>
      <c r="B251" s="2" t="s">
        <v>179</v>
      </c>
      <c r="D251" s="4"/>
    </row>
    <row r="252" spans="1:4" ht="13">
      <c r="A252" s="5" t="s">
        <v>287</v>
      </c>
      <c r="B252" s="2" t="s">
        <v>11</v>
      </c>
      <c r="D252" s="4"/>
    </row>
    <row r="253" spans="1:4" ht="13">
      <c r="A253" s="5" t="s">
        <v>288</v>
      </c>
      <c r="B253" s="2" t="s">
        <v>23</v>
      </c>
      <c r="D253" s="4"/>
    </row>
    <row r="254" spans="1:4" ht="13">
      <c r="A254" s="5" t="s">
        <v>289</v>
      </c>
      <c r="B254" s="2" t="s">
        <v>5</v>
      </c>
      <c r="D254" s="4"/>
    </row>
    <row r="255" spans="1:4" ht="13">
      <c r="A255" s="5" t="s">
        <v>290</v>
      </c>
      <c r="B255" s="2" t="s">
        <v>53</v>
      </c>
      <c r="D255" s="4"/>
    </row>
    <row r="256" spans="1:4" ht="13">
      <c r="A256" s="5" t="s">
        <v>291</v>
      </c>
      <c r="B256" s="2" t="s">
        <v>5</v>
      </c>
      <c r="D256" s="4"/>
    </row>
    <row r="257" spans="1:4" ht="13">
      <c r="A257" s="5" t="s">
        <v>292</v>
      </c>
      <c r="B257" s="2" t="s">
        <v>45</v>
      </c>
      <c r="C257" s="2" t="s">
        <v>45</v>
      </c>
      <c r="D257" s="4"/>
    </row>
    <row r="258" spans="1:4" ht="13">
      <c r="A258" s="5" t="s">
        <v>293</v>
      </c>
      <c r="B258" s="2" t="s">
        <v>51</v>
      </c>
      <c r="D258" s="4"/>
    </row>
    <row r="259" spans="1:4" ht="13">
      <c r="A259" s="5" t="s">
        <v>294</v>
      </c>
      <c r="B259" s="2" t="s">
        <v>5</v>
      </c>
      <c r="D259" s="4"/>
    </row>
    <row r="260" spans="1:4" ht="13">
      <c r="A260" s="5" t="s">
        <v>295</v>
      </c>
      <c r="B260" s="2" t="s">
        <v>5</v>
      </c>
      <c r="D260" s="4"/>
    </row>
    <row r="261" spans="1:4" ht="13">
      <c r="A261" s="5" t="s">
        <v>296</v>
      </c>
      <c r="B261" s="2" t="s">
        <v>53</v>
      </c>
      <c r="D261" s="4"/>
    </row>
    <row r="262" spans="1:4" ht="13">
      <c r="A262" s="5" t="s">
        <v>297</v>
      </c>
      <c r="B262" s="2" t="s">
        <v>45</v>
      </c>
      <c r="D262" s="4"/>
    </row>
    <row r="263" spans="1:4" ht="13">
      <c r="A263" s="5" t="s">
        <v>298</v>
      </c>
      <c r="B263" s="2" t="s">
        <v>160</v>
      </c>
      <c r="D263" s="4"/>
    </row>
    <row r="264" spans="1:4" ht="13">
      <c r="A264" s="5" t="s">
        <v>299</v>
      </c>
      <c r="B264" s="2" t="s">
        <v>51</v>
      </c>
      <c r="D264" s="4"/>
    </row>
    <row r="265" spans="1:4" ht="13">
      <c r="A265" s="5" t="s">
        <v>300</v>
      </c>
      <c r="B265" s="2" t="s">
        <v>85</v>
      </c>
      <c r="D265" s="4"/>
    </row>
    <row r="266" spans="1:4" ht="13">
      <c r="A266" s="5" t="s">
        <v>301</v>
      </c>
      <c r="B266" s="2" t="s">
        <v>85</v>
      </c>
      <c r="C266" s="2" t="s">
        <v>43</v>
      </c>
      <c r="D266" s="4"/>
    </row>
    <row r="267" spans="1:4" ht="13">
      <c r="A267" s="5" t="s">
        <v>302</v>
      </c>
      <c r="B267" s="2" t="s">
        <v>179</v>
      </c>
      <c r="D267" s="4"/>
    </row>
    <row r="268" spans="1:4" ht="13">
      <c r="A268" s="5" t="s">
        <v>303</v>
      </c>
      <c r="B268" s="2" t="s">
        <v>5</v>
      </c>
      <c r="D268" s="4"/>
    </row>
    <row r="269" spans="1:4" ht="13">
      <c r="A269" s="5" t="s">
        <v>304</v>
      </c>
      <c r="B269" s="2" t="s">
        <v>51</v>
      </c>
      <c r="D269" s="4"/>
    </row>
    <row r="270" spans="1:4" ht="13">
      <c r="A270" s="5" t="s">
        <v>305</v>
      </c>
      <c r="B270" s="2" t="s">
        <v>5</v>
      </c>
      <c r="D270" s="4"/>
    </row>
    <row r="271" spans="1:4" ht="13">
      <c r="A271" s="5" t="s">
        <v>306</v>
      </c>
      <c r="B271" s="2" t="s">
        <v>85</v>
      </c>
      <c r="D271" s="4"/>
    </row>
    <row r="272" spans="1:4" ht="13">
      <c r="A272" s="5" t="s">
        <v>307</v>
      </c>
      <c r="B272" s="2" t="s">
        <v>75</v>
      </c>
      <c r="D272" s="4"/>
    </row>
    <row r="273" spans="1:4" ht="13">
      <c r="A273" s="5" t="s">
        <v>308</v>
      </c>
      <c r="B273" s="2" t="s">
        <v>23</v>
      </c>
      <c r="D273" s="4"/>
    </row>
    <row r="274" spans="1:4" ht="13">
      <c r="A274" s="5" t="s">
        <v>309</v>
      </c>
      <c r="B274" s="2" t="s">
        <v>5</v>
      </c>
      <c r="D274" s="4"/>
    </row>
    <row r="275" spans="1:4" ht="13">
      <c r="A275" s="5" t="s">
        <v>310</v>
      </c>
      <c r="B275" s="2" t="s">
        <v>5</v>
      </c>
      <c r="D275" s="4"/>
    </row>
    <row r="276" spans="1:4" ht="13">
      <c r="A276" s="5" t="s">
        <v>311</v>
      </c>
      <c r="B276" s="2" t="s">
        <v>5</v>
      </c>
      <c r="D276" s="4"/>
    </row>
    <row r="277" spans="1:4" ht="13">
      <c r="A277" s="5" t="s">
        <v>312</v>
      </c>
      <c r="B277" s="2" t="s">
        <v>23</v>
      </c>
      <c r="D277" s="4"/>
    </row>
    <row r="278" spans="1:4" ht="13">
      <c r="A278" s="5" t="s">
        <v>313</v>
      </c>
      <c r="B278" s="2" t="s">
        <v>5</v>
      </c>
      <c r="D278" s="4"/>
    </row>
    <row r="279" spans="1:4" ht="13">
      <c r="A279" s="5" t="s">
        <v>314</v>
      </c>
      <c r="B279" s="2" t="s">
        <v>23</v>
      </c>
      <c r="D279" s="4"/>
    </row>
    <row r="280" spans="1:4" ht="13">
      <c r="A280" s="5" t="s">
        <v>315</v>
      </c>
      <c r="B280" s="2" t="s">
        <v>14</v>
      </c>
      <c r="D280" s="4"/>
    </row>
    <row r="281" spans="1:4" ht="13">
      <c r="A281" s="5" t="s">
        <v>316</v>
      </c>
      <c r="B281" s="2" t="s">
        <v>27</v>
      </c>
      <c r="D281" s="4"/>
    </row>
    <row r="282" spans="1:4" ht="13">
      <c r="A282" s="5" t="s">
        <v>317</v>
      </c>
      <c r="B282" s="2" t="s">
        <v>20</v>
      </c>
      <c r="D282" s="4"/>
    </row>
    <row r="283" spans="1:4" ht="13">
      <c r="A283" s="5" t="s">
        <v>318</v>
      </c>
      <c r="B283" s="2" t="s">
        <v>20</v>
      </c>
      <c r="D283" s="4"/>
    </row>
    <row r="284" spans="1:4" ht="13">
      <c r="A284" s="5" t="s">
        <v>319</v>
      </c>
      <c r="B284" s="2" t="s">
        <v>179</v>
      </c>
      <c r="D284" s="4"/>
    </row>
    <row r="285" spans="1:4" ht="13">
      <c r="A285" s="5" t="s">
        <v>320</v>
      </c>
      <c r="B285" s="2" t="s">
        <v>14</v>
      </c>
      <c r="D285" s="4"/>
    </row>
    <row r="286" spans="1:4" ht="13">
      <c r="A286" s="5" t="s">
        <v>321</v>
      </c>
      <c r="B286" s="2" t="s">
        <v>23</v>
      </c>
      <c r="D286" s="4"/>
    </row>
    <row r="287" spans="1:4" ht="13">
      <c r="A287" s="5" t="s">
        <v>322</v>
      </c>
      <c r="B287" s="2" t="s">
        <v>91</v>
      </c>
      <c r="D287" s="4"/>
    </row>
    <row r="288" spans="1:4" ht="13">
      <c r="A288" s="5" t="s">
        <v>323</v>
      </c>
      <c r="B288" s="2" t="s">
        <v>7</v>
      </c>
      <c r="D288" s="4"/>
    </row>
    <row r="289" spans="1:4" ht="13">
      <c r="A289" s="5" t="s">
        <v>324</v>
      </c>
      <c r="B289" s="2" t="s">
        <v>14</v>
      </c>
      <c r="D289" s="4"/>
    </row>
    <row r="290" spans="1:4" ht="13">
      <c r="A290" s="5" t="s">
        <v>325</v>
      </c>
      <c r="B290" s="2" t="s">
        <v>197</v>
      </c>
      <c r="D290" s="4"/>
    </row>
    <row r="291" spans="1:4" ht="13">
      <c r="A291" s="5" t="s">
        <v>326</v>
      </c>
      <c r="B291" s="2" t="s">
        <v>5</v>
      </c>
      <c r="D291" s="4"/>
    </row>
    <row r="292" spans="1:4" ht="13">
      <c r="A292" s="5" t="s">
        <v>327</v>
      </c>
      <c r="B292" s="2" t="s">
        <v>14</v>
      </c>
      <c r="D292" s="4"/>
    </row>
    <row r="293" spans="1:4" ht="13">
      <c r="A293" s="5" t="s">
        <v>328</v>
      </c>
      <c r="B293" s="2" t="s">
        <v>20</v>
      </c>
      <c r="D293" s="4"/>
    </row>
    <row r="294" spans="1:4" ht="13">
      <c r="A294" s="5" t="s">
        <v>329</v>
      </c>
      <c r="B294" s="2" t="s">
        <v>18</v>
      </c>
      <c r="D294" s="4"/>
    </row>
    <row r="295" spans="1:4" ht="13">
      <c r="A295" s="5" t="s">
        <v>330</v>
      </c>
      <c r="B295" s="2" t="s">
        <v>160</v>
      </c>
      <c r="D295" s="4"/>
    </row>
    <row r="296" spans="1:4" ht="13">
      <c r="A296" s="5" t="s">
        <v>331</v>
      </c>
      <c r="B296" s="2" t="s">
        <v>20</v>
      </c>
      <c r="D296" s="4"/>
    </row>
    <row r="297" spans="1:4" ht="13">
      <c r="A297" s="5" t="s">
        <v>332</v>
      </c>
      <c r="B297" s="2" t="s">
        <v>7</v>
      </c>
      <c r="D297" s="4"/>
    </row>
    <row r="298" spans="1:4" ht="13">
      <c r="A298" s="5" t="s">
        <v>333</v>
      </c>
      <c r="B298" s="2" t="s">
        <v>20</v>
      </c>
      <c r="D298" s="4"/>
    </row>
    <row r="299" spans="1:4" ht="13">
      <c r="A299" s="5" t="s">
        <v>334</v>
      </c>
      <c r="B299" s="2" t="s">
        <v>31</v>
      </c>
      <c r="D299" s="4"/>
    </row>
    <row r="300" spans="1:4" ht="13">
      <c r="A300" s="5" t="s">
        <v>335</v>
      </c>
      <c r="B300" s="2" t="s">
        <v>20</v>
      </c>
      <c r="D300" s="4"/>
    </row>
    <row r="301" spans="1:4" ht="13">
      <c r="A301" s="5" t="s">
        <v>336</v>
      </c>
      <c r="B301" s="2" t="s">
        <v>160</v>
      </c>
      <c r="D301" s="4"/>
    </row>
    <row r="302" spans="1:4" ht="13">
      <c r="A302" s="5" t="s">
        <v>337</v>
      </c>
      <c r="B302" s="2" t="s">
        <v>148</v>
      </c>
      <c r="D302" s="4"/>
    </row>
    <row r="303" spans="1:4" ht="13">
      <c r="A303" s="5" t="s">
        <v>338</v>
      </c>
      <c r="B303" s="2" t="s">
        <v>23</v>
      </c>
      <c r="D303" s="4"/>
    </row>
    <row r="304" spans="1:4" ht="13">
      <c r="A304" s="5" t="s">
        <v>339</v>
      </c>
      <c r="B304" s="2" t="s">
        <v>26</v>
      </c>
      <c r="D304" s="4"/>
    </row>
    <row r="305" spans="1:4" ht="13">
      <c r="A305" s="5" t="s">
        <v>340</v>
      </c>
      <c r="B305" s="2" t="s">
        <v>9</v>
      </c>
      <c r="D305" s="4"/>
    </row>
    <row r="306" spans="1:4" ht="13">
      <c r="A306" s="5" t="s">
        <v>341</v>
      </c>
      <c r="B306" s="2" t="s">
        <v>43</v>
      </c>
      <c r="D306" s="4"/>
    </row>
    <row r="307" spans="1:4" ht="13">
      <c r="A307" s="5" t="s">
        <v>342</v>
      </c>
      <c r="B307" s="2" t="s">
        <v>51</v>
      </c>
      <c r="D307" s="4"/>
    </row>
    <row r="308" spans="1:4" ht="13">
      <c r="A308" s="3" t="s">
        <v>343</v>
      </c>
      <c r="B308" s="2" t="s">
        <v>20</v>
      </c>
      <c r="D308" s="4"/>
    </row>
    <row r="309" spans="1:4" ht="13">
      <c r="A309" s="5" t="s">
        <v>344</v>
      </c>
      <c r="B309" s="2" t="s">
        <v>5</v>
      </c>
      <c r="D309" s="4"/>
    </row>
    <row r="310" spans="1:4" ht="13">
      <c r="A310" s="3" t="s">
        <v>191</v>
      </c>
      <c r="B310" s="2" t="s">
        <v>20</v>
      </c>
      <c r="D310" s="4"/>
    </row>
    <row r="311" spans="1:4" ht="13">
      <c r="A311" s="5" t="s">
        <v>192</v>
      </c>
      <c r="B311" s="2" t="s">
        <v>14</v>
      </c>
      <c r="D311" s="4"/>
    </row>
    <row r="312" spans="1:4" ht="13">
      <c r="A312" s="5" t="s">
        <v>345</v>
      </c>
      <c r="B312" s="2" t="s">
        <v>53</v>
      </c>
      <c r="D312" s="4"/>
    </row>
    <row r="313" spans="1:4" ht="13">
      <c r="A313" s="5" t="s">
        <v>346</v>
      </c>
      <c r="B313" s="2" t="s">
        <v>5</v>
      </c>
      <c r="D313" s="4"/>
    </row>
    <row r="314" spans="1:4" ht="13">
      <c r="A314" s="5" t="s">
        <v>347</v>
      </c>
      <c r="B314" s="2" t="s">
        <v>5</v>
      </c>
      <c r="D314" s="4"/>
    </row>
    <row r="315" spans="1:4" ht="13">
      <c r="A315" s="5" t="s">
        <v>348</v>
      </c>
      <c r="B315" s="2" t="s">
        <v>51</v>
      </c>
      <c r="D315" s="4"/>
    </row>
    <row r="316" spans="1:4" ht="13">
      <c r="A316" s="5" t="s">
        <v>349</v>
      </c>
      <c r="B316" s="2" t="s">
        <v>20</v>
      </c>
      <c r="D316" s="4"/>
    </row>
    <row r="317" spans="1:4" ht="13">
      <c r="A317" s="5" t="s">
        <v>350</v>
      </c>
      <c r="B317" s="2" t="s">
        <v>20</v>
      </c>
      <c r="D317" s="4"/>
    </row>
    <row r="318" spans="1:4" ht="13">
      <c r="A318" s="5" t="s">
        <v>351</v>
      </c>
      <c r="B318" s="2" t="s">
        <v>75</v>
      </c>
      <c r="D318" s="4"/>
    </row>
    <row r="319" spans="1:4" ht="13">
      <c r="A319" s="3" t="s">
        <v>352</v>
      </c>
      <c r="B319" s="2" t="s">
        <v>160</v>
      </c>
      <c r="D319" s="4"/>
    </row>
    <row r="320" spans="1:4" ht="13">
      <c r="A320" s="5" t="s">
        <v>353</v>
      </c>
      <c r="B320" s="2" t="s">
        <v>134</v>
      </c>
      <c r="D320" s="4"/>
    </row>
    <row r="321" spans="1:4" ht="13">
      <c r="A321" s="5" t="s">
        <v>354</v>
      </c>
      <c r="B321" s="2" t="s">
        <v>20</v>
      </c>
      <c r="D321" s="4"/>
    </row>
    <row r="322" spans="1:4" ht="13">
      <c r="A322" s="5" t="s">
        <v>355</v>
      </c>
      <c r="B322" s="2" t="s">
        <v>27</v>
      </c>
      <c r="C322" s="2" t="s">
        <v>45</v>
      </c>
      <c r="D322" s="4"/>
    </row>
    <row r="323" spans="1:4" ht="13">
      <c r="A323" s="5" t="s">
        <v>356</v>
      </c>
      <c r="B323" s="2" t="s">
        <v>14</v>
      </c>
      <c r="D323" s="4"/>
    </row>
    <row r="324" spans="1:4" ht="13">
      <c r="A324" s="5" t="s">
        <v>357</v>
      </c>
      <c r="B324" s="2" t="s">
        <v>5</v>
      </c>
      <c r="D324" s="4"/>
    </row>
    <row r="325" spans="1:4" ht="13">
      <c r="A325" s="5" t="s">
        <v>358</v>
      </c>
      <c r="B325" s="2" t="s">
        <v>14</v>
      </c>
      <c r="D325" s="4"/>
    </row>
    <row r="326" spans="1:4" ht="13">
      <c r="A326" s="5" t="s">
        <v>359</v>
      </c>
      <c r="B326" s="2" t="s">
        <v>14</v>
      </c>
      <c r="D326" s="4"/>
    </row>
    <row r="327" spans="1:4" ht="13">
      <c r="A327" s="5" t="s">
        <v>360</v>
      </c>
      <c r="B327" s="2" t="s">
        <v>20</v>
      </c>
      <c r="D327" s="4"/>
    </row>
    <row r="328" spans="1:4" ht="13">
      <c r="A328" s="5" t="s">
        <v>361</v>
      </c>
      <c r="B328" s="2" t="s">
        <v>20</v>
      </c>
      <c r="D328" s="4"/>
    </row>
    <row r="329" spans="1:4" ht="13">
      <c r="A329" s="5" t="s">
        <v>362</v>
      </c>
      <c r="B329" s="2" t="s">
        <v>20</v>
      </c>
      <c r="D329" s="4"/>
    </row>
    <row r="330" spans="1:4" ht="13">
      <c r="A330" s="5" t="s">
        <v>363</v>
      </c>
      <c r="B330" s="2" t="s">
        <v>20</v>
      </c>
      <c r="D330" s="4"/>
    </row>
    <row r="331" spans="1:4" ht="13">
      <c r="A331" s="5" t="s">
        <v>364</v>
      </c>
      <c r="B331" s="2" t="s">
        <v>91</v>
      </c>
      <c r="D331" s="4"/>
    </row>
    <row r="332" spans="1:4" ht="13">
      <c r="A332" s="5" t="s">
        <v>365</v>
      </c>
      <c r="B332" s="2" t="s">
        <v>20</v>
      </c>
      <c r="D332" s="4"/>
    </row>
    <row r="333" spans="1:4" ht="13">
      <c r="A333" s="5" t="s">
        <v>366</v>
      </c>
      <c r="B333" s="2" t="s">
        <v>31</v>
      </c>
      <c r="D333" s="4"/>
    </row>
    <row r="334" spans="1:4" ht="13">
      <c r="A334" s="5" t="s">
        <v>367</v>
      </c>
      <c r="B334" s="2" t="s">
        <v>14</v>
      </c>
      <c r="D334" s="4"/>
    </row>
    <row r="335" spans="1:4" ht="13">
      <c r="A335" s="5" t="s">
        <v>368</v>
      </c>
      <c r="B335" s="2" t="s">
        <v>53</v>
      </c>
      <c r="D335" s="4"/>
    </row>
    <row r="336" spans="1:4" ht="13">
      <c r="A336" s="5" t="s">
        <v>369</v>
      </c>
      <c r="B336" s="2" t="s">
        <v>20</v>
      </c>
      <c r="D336" s="4"/>
    </row>
    <row r="337" spans="1:5" ht="13">
      <c r="A337" s="3" t="s">
        <v>370</v>
      </c>
      <c r="B337" s="2" t="s">
        <v>14</v>
      </c>
      <c r="C337" s="2" t="s">
        <v>27</v>
      </c>
      <c r="D337" s="4"/>
    </row>
    <row r="338" spans="1:5" ht="13">
      <c r="A338" s="3" t="s">
        <v>371</v>
      </c>
      <c r="B338" s="2" t="s">
        <v>14</v>
      </c>
      <c r="D338" s="4"/>
    </row>
    <row r="339" spans="1:5" ht="13">
      <c r="A339" s="5" t="s">
        <v>372</v>
      </c>
      <c r="B339" s="2" t="s">
        <v>45</v>
      </c>
      <c r="D339" s="4"/>
    </row>
    <row r="340" spans="1:5" ht="13">
      <c r="A340" s="5" t="s">
        <v>373</v>
      </c>
      <c r="B340" s="2" t="s">
        <v>134</v>
      </c>
      <c r="D340" s="4"/>
    </row>
    <row r="341" spans="1:5" ht="13">
      <c r="A341" s="5" t="s">
        <v>374</v>
      </c>
      <c r="B341" s="2" t="s">
        <v>91</v>
      </c>
      <c r="D341" s="4"/>
    </row>
    <row r="342" spans="1:5" ht="13">
      <c r="A342" s="5" t="s">
        <v>375</v>
      </c>
      <c r="B342" s="2" t="s">
        <v>14</v>
      </c>
      <c r="D342" s="4"/>
    </row>
    <row r="343" spans="1:5" ht="13">
      <c r="A343" s="5" t="s">
        <v>376</v>
      </c>
      <c r="B343" s="2" t="s">
        <v>23</v>
      </c>
      <c r="D343" s="4"/>
    </row>
    <row r="344" spans="1:5" ht="13">
      <c r="A344" s="5" t="s">
        <v>377</v>
      </c>
      <c r="B344" s="2" t="s">
        <v>20</v>
      </c>
      <c r="D344" s="4"/>
    </row>
    <row r="345" spans="1:5" ht="13">
      <c r="A345" s="5" t="s">
        <v>378</v>
      </c>
      <c r="B345" s="2" t="s">
        <v>20</v>
      </c>
      <c r="D345" s="4"/>
      <c r="E345" s="2"/>
    </row>
  </sheetData>
  <mergeCells count="1">
    <mergeCell ref="B1:C1"/>
  </mergeCells>
  <phoneticPr fontId="11"/>
  <hyperlinks>
    <hyperlink ref="A2" r:id="rId1" location="discussion_r1083565846" xr:uid="{00000000-0004-0000-0000-000000000000}"/>
    <hyperlink ref="A3" r:id="rId2" location="discussion_r1083724374" xr:uid="{00000000-0004-0000-0000-000001000000}"/>
    <hyperlink ref="A4" r:id="rId3" location="discussion_r1074023214" xr:uid="{00000000-0004-0000-0000-000002000000}"/>
    <hyperlink ref="A5" r:id="rId4" location="issuecomment-1383873154" xr:uid="{00000000-0004-0000-0000-000003000000}"/>
    <hyperlink ref="A6" r:id="rId5" location="issuecomment-1440357711" xr:uid="{00000000-0004-0000-0000-000004000000}"/>
    <hyperlink ref="A7" r:id="rId6" location="issuecomment-1426807019" xr:uid="{00000000-0004-0000-0000-000005000000}"/>
    <hyperlink ref="A8" r:id="rId7" location="issuecomment-1422355751" xr:uid="{00000000-0004-0000-0000-000006000000}"/>
    <hyperlink ref="A9" r:id="rId8" location="issuecomment-1422375286" xr:uid="{00000000-0004-0000-0000-000007000000}"/>
    <hyperlink ref="A10" r:id="rId9" location="issuecomment-1422416345" xr:uid="{00000000-0004-0000-0000-000008000000}"/>
    <hyperlink ref="A11" r:id="rId10" location="discussion_r1146494323" xr:uid="{00000000-0004-0000-0000-000009000000}"/>
    <hyperlink ref="A12" r:id="rId11" location="issuecomment-1481577294" xr:uid="{00000000-0004-0000-0000-00000A000000}"/>
    <hyperlink ref="A13" r:id="rId12" location="issuecomment-1486132202" xr:uid="{00000000-0004-0000-0000-00000B000000}"/>
    <hyperlink ref="A14" r:id="rId13" location="issuecomment-1486151336" xr:uid="{00000000-0004-0000-0000-00000C000000}"/>
    <hyperlink ref="A15" r:id="rId14" location="discussion_r1127264221" xr:uid="{00000000-0004-0000-0000-00000D000000}"/>
    <hyperlink ref="A16" r:id="rId15" location="issuecomment-1482782327" xr:uid="{00000000-0004-0000-0000-00000E000000}"/>
    <hyperlink ref="A17" r:id="rId16" location="issuecomment-1485049856" xr:uid="{00000000-0004-0000-0000-00000F000000}"/>
    <hyperlink ref="A18" r:id="rId17" location="issuecomment-1468376389" xr:uid="{00000000-0004-0000-0000-000010000000}"/>
    <hyperlink ref="A19" r:id="rId18" location="discussion_r1155937820" xr:uid="{00000000-0004-0000-0000-000011000000}"/>
    <hyperlink ref="A20" r:id="rId19" location="issuecomment-1513081507" xr:uid="{00000000-0004-0000-0000-000012000000}"/>
    <hyperlink ref="A21" r:id="rId20" location="issuecomment-1523711377" xr:uid="{00000000-0004-0000-0000-000013000000}"/>
    <hyperlink ref="A22" r:id="rId21" location="issuecomment-1523829146" xr:uid="{00000000-0004-0000-0000-000014000000}"/>
    <hyperlink ref="A23" r:id="rId22" location="discussion_r1156498711" xr:uid="{00000000-0004-0000-0000-000015000000}"/>
    <hyperlink ref="A24" r:id="rId23" location="issuecomment-1576578560" xr:uid="{00000000-0004-0000-0000-000016000000}"/>
    <hyperlink ref="A25" r:id="rId24" location="issuecomment-1582606514" xr:uid="{00000000-0004-0000-0000-000017000000}"/>
    <hyperlink ref="A26" r:id="rId25" location="issuecomment-1582829867" xr:uid="{00000000-0004-0000-0000-000018000000}"/>
    <hyperlink ref="A27" r:id="rId26" location="issuecomment-1590831197" xr:uid="{00000000-0004-0000-0000-000019000000}"/>
    <hyperlink ref="A28" r:id="rId27" location="issuecomment-1582854272" xr:uid="{00000000-0004-0000-0000-00001A000000}"/>
    <hyperlink ref="A29" r:id="rId28" location="discussion_r1235304399" xr:uid="{00000000-0004-0000-0000-00001B000000}"/>
    <hyperlink ref="A30" r:id="rId29" location="discussion_r1235309846" xr:uid="{00000000-0004-0000-0000-00001C000000}"/>
    <hyperlink ref="A31" r:id="rId30" location="issuecomment-1578506842" xr:uid="{00000000-0004-0000-0000-00001D000000}"/>
    <hyperlink ref="A32" r:id="rId31" location="issuecomment-1578517673" xr:uid="{00000000-0004-0000-0000-00001E000000}"/>
    <hyperlink ref="A33" r:id="rId32" location="discussion_r1263879886" xr:uid="{00000000-0004-0000-0000-00001F000000}"/>
    <hyperlink ref="A34" r:id="rId33" location="issuecomment-1597866592" xr:uid="{00000000-0004-0000-0000-000020000000}"/>
    <hyperlink ref="A35" r:id="rId34" location="issuecomment-1675592946" xr:uid="{00000000-0004-0000-0000-000021000000}"/>
    <hyperlink ref="A36" r:id="rId35" location="issuecomment-1624983316" xr:uid="{00000000-0004-0000-0000-000022000000}"/>
    <hyperlink ref="A37" r:id="rId36" location="issuecomment-1672650566" xr:uid="{00000000-0004-0000-0000-000023000000}"/>
    <hyperlink ref="A38" r:id="rId37" location="issuecomment-1689636196" xr:uid="{00000000-0004-0000-0000-000024000000}"/>
    <hyperlink ref="A39" r:id="rId38" location="issuecomment-1672651113" xr:uid="{00000000-0004-0000-0000-000025000000}"/>
    <hyperlink ref="A40" r:id="rId39" location="issuecomment-1689209740" xr:uid="{00000000-0004-0000-0000-000026000000}"/>
    <hyperlink ref="A41" r:id="rId40" location="issuecomment-1690111304" xr:uid="{00000000-0004-0000-0000-000027000000}"/>
    <hyperlink ref="A42" r:id="rId41" location="discussion_r1303995244" xr:uid="{00000000-0004-0000-0000-000028000000}"/>
    <hyperlink ref="A43" r:id="rId42" location="issuecomment-1686618217" xr:uid="{00000000-0004-0000-0000-000029000000}"/>
    <hyperlink ref="A44" r:id="rId43" location="issuecomment-1661736821" xr:uid="{00000000-0004-0000-0000-00002A000000}"/>
    <hyperlink ref="A45" r:id="rId44" location="issuecomment-1665498143" xr:uid="{00000000-0004-0000-0000-00002B000000}"/>
    <hyperlink ref="A46" r:id="rId45" location="issuecomment-1665506423" xr:uid="{00000000-0004-0000-0000-00002C000000}"/>
    <hyperlink ref="A47" r:id="rId46" location="discussion_r1306204926" xr:uid="{00000000-0004-0000-0000-00002D000000}"/>
    <hyperlink ref="A48" r:id="rId47" location="issuecomment-1697519138" xr:uid="{00000000-0004-0000-0000-00002E000000}"/>
    <hyperlink ref="A49" r:id="rId48" location="discussion_r1314789164" xr:uid="{00000000-0004-0000-0000-00002F000000}"/>
    <hyperlink ref="A50" r:id="rId49" location="discussion_r1332517627" xr:uid="{00000000-0004-0000-0000-000030000000}"/>
    <hyperlink ref="A51" r:id="rId50" location="discussion_r1336278028" xr:uid="{00000000-0004-0000-0000-000031000000}"/>
    <hyperlink ref="A52" r:id="rId51" location="issuecomment-1780379051" xr:uid="{00000000-0004-0000-0000-000032000000}"/>
    <hyperlink ref="A53" r:id="rId52" location="issuecomment-1793344331" xr:uid="{00000000-0004-0000-0000-000033000000}"/>
    <hyperlink ref="A54" r:id="rId53" location="issuecomment-1785720245" xr:uid="{00000000-0004-0000-0000-000034000000}"/>
    <hyperlink ref="A55" r:id="rId54" location="issuecomment-1785791090" xr:uid="{00000000-0004-0000-0000-000035000000}"/>
    <hyperlink ref="A56" r:id="rId55" location="issuecomment-1781507882" xr:uid="{00000000-0004-0000-0000-000036000000}"/>
    <hyperlink ref="A57" r:id="rId56" location="discussion_r1365062177" xr:uid="{00000000-0004-0000-0000-000037000000}"/>
    <hyperlink ref="A58" r:id="rId57" location="issuecomment-1752448257" xr:uid="{00000000-0004-0000-0000-000038000000}"/>
    <hyperlink ref="A59" r:id="rId58" location="issuecomment-1807527354" xr:uid="{00000000-0004-0000-0000-000039000000}"/>
    <hyperlink ref="A60" r:id="rId59" location="issuecomment-1809757221" xr:uid="{00000000-0004-0000-0000-00003A000000}"/>
    <hyperlink ref="A61" r:id="rId60" location="issuecomment-1801905875" xr:uid="{00000000-0004-0000-0000-00003B000000}"/>
    <hyperlink ref="A62" r:id="rId61" location="issuecomment-1828368632" xr:uid="{00000000-0004-0000-0000-00003C000000}"/>
    <hyperlink ref="A63" r:id="rId62" location="issuecomment-1793218502" xr:uid="{00000000-0004-0000-0000-00003D000000}"/>
    <hyperlink ref="A64" r:id="rId63" location="discussion_r1412686754" xr:uid="{00000000-0004-0000-0000-00003E000000}"/>
    <hyperlink ref="A65" r:id="rId64" location="discussion_r1414961306" xr:uid="{00000000-0004-0000-0000-00003F000000}"/>
    <hyperlink ref="A66" r:id="rId65" location="discussion_r1417022793" xr:uid="{00000000-0004-0000-0000-000040000000}"/>
    <hyperlink ref="A67" r:id="rId66" location="issuecomment-1948839059" xr:uid="{00000000-0004-0000-0000-000041000000}"/>
    <hyperlink ref="A68" r:id="rId67" location="issuecomment-1910187080" xr:uid="{00000000-0004-0000-0000-000042000000}"/>
    <hyperlink ref="A69" r:id="rId68" location="issuecomment-1910451341" xr:uid="{00000000-0004-0000-0000-000043000000}"/>
    <hyperlink ref="A70" r:id="rId69" location="issuecomment-1900904418" xr:uid="{00000000-0004-0000-0000-000044000000}"/>
    <hyperlink ref="A71" r:id="rId70" location="issuecomment-1901148987" xr:uid="{00000000-0004-0000-0000-000045000000}"/>
    <hyperlink ref="A72" r:id="rId71" location="issuecomment-1901569192" xr:uid="{00000000-0004-0000-0000-000046000000}"/>
    <hyperlink ref="A73" r:id="rId72" location="issuecomment-1902645890" xr:uid="{00000000-0004-0000-0000-000047000000}"/>
    <hyperlink ref="A74" r:id="rId73" location="issuecomment-1899349398" xr:uid="{00000000-0004-0000-0000-000048000000}"/>
    <hyperlink ref="A75" r:id="rId74" location="issuecomment-1886360767" xr:uid="{00000000-0004-0000-0000-000049000000}"/>
    <hyperlink ref="A76" r:id="rId75" location="issuecomment-1887960719" xr:uid="{00000000-0004-0000-0000-00004A000000}"/>
    <hyperlink ref="A77" r:id="rId76" location="discussion_r1450221819" xr:uid="{00000000-0004-0000-0000-00004B000000}"/>
    <hyperlink ref="A78" r:id="rId77" location="issuecomment-1885822780" xr:uid="{00000000-0004-0000-0000-00004C000000}"/>
    <hyperlink ref="A79" r:id="rId78" location="discussion_r1443379463" xr:uid="{00000000-0004-0000-0000-00004D000000}"/>
    <hyperlink ref="A80" r:id="rId79" location="discussion_r1473516211" xr:uid="{00000000-0004-0000-0000-00004E000000}"/>
    <hyperlink ref="A81" r:id="rId80" location="issuecomment-1959829217" xr:uid="{00000000-0004-0000-0000-00004F000000}"/>
    <hyperlink ref="A82" r:id="rId81" location="discussion_r1501899861" xr:uid="{00000000-0004-0000-0000-000050000000}"/>
    <hyperlink ref="A83" r:id="rId82" location="discussion_r1517923030" xr:uid="{00000000-0004-0000-0000-000051000000}"/>
    <hyperlink ref="A84" r:id="rId83" location="issuecomment-1955720555" xr:uid="{00000000-0004-0000-0000-000052000000}"/>
    <hyperlink ref="A85" r:id="rId84" location="discussion_r1487082121" xr:uid="{00000000-0004-0000-0000-000053000000}"/>
    <hyperlink ref="A86" r:id="rId85" location="discussion_r1507440482" xr:uid="{00000000-0004-0000-0000-000054000000}"/>
    <hyperlink ref="A87" r:id="rId86" location="issuecomment-2025318864" xr:uid="{00000000-0004-0000-0000-000055000000}"/>
    <hyperlink ref="A88" r:id="rId87" location="issuecomment-2024845557" xr:uid="{00000000-0004-0000-0000-000056000000}"/>
    <hyperlink ref="A89" r:id="rId88" location="issuecomment-2014162418" xr:uid="{00000000-0004-0000-0000-000057000000}"/>
    <hyperlink ref="A90" r:id="rId89" location="issuecomment-1980864682" xr:uid="{00000000-0004-0000-0000-000058000000}"/>
    <hyperlink ref="A91" r:id="rId90" location="issuecomment-1999698330" xr:uid="{00000000-0004-0000-0000-000059000000}"/>
    <hyperlink ref="A92" r:id="rId91" location="issuecomment-2034063870" xr:uid="{00000000-0004-0000-0000-00005A000000}"/>
    <hyperlink ref="A93" r:id="rId92" location="discussion_r1530909058" xr:uid="{00000000-0004-0000-0000-00005B000000}"/>
    <hyperlink ref="A94" r:id="rId93" location="issuecomment-1999943078" xr:uid="{00000000-0004-0000-0000-00005C000000}"/>
    <hyperlink ref="A95" r:id="rId94" location="issuecomment-2017657371" xr:uid="{00000000-0004-0000-0000-00005D000000}"/>
    <hyperlink ref="A96" r:id="rId95" location="issuecomment-2061398319" xr:uid="{00000000-0004-0000-0000-00005E000000}"/>
    <hyperlink ref="A97" r:id="rId96" location="issuecomment-2035787922" xr:uid="{00000000-0004-0000-0000-00005F000000}"/>
    <hyperlink ref="A98" r:id="rId97" location="issuecomment-2045255946" xr:uid="{00000000-0004-0000-0000-000060000000}"/>
    <hyperlink ref="A99" r:id="rId98" location="issuecomment-2072113477" xr:uid="{00000000-0004-0000-0000-000061000000}"/>
    <hyperlink ref="A100" r:id="rId99" location="issuecomment-2063787042" xr:uid="{00000000-0004-0000-0000-000062000000}"/>
    <hyperlink ref="A101" r:id="rId100" location="issuecomment-2071595653" xr:uid="{00000000-0004-0000-0000-000063000000}"/>
    <hyperlink ref="A102" r:id="rId101" location="discussion_r1587350621" xr:uid="{00000000-0004-0000-0000-000064000000}"/>
    <hyperlink ref="A103" r:id="rId102" location="issuecomment-2155886151" xr:uid="{00000000-0004-0000-0000-000065000000}"/>
    <hyperlink ref="A104" r:id="rId103" location="issuecomment-2117027142" xr:uid="{00000000-0004-0000-0000-000066000000}"/>
    <hyperlink ref="A105" r:id="rId104" location="issuecomment-2117397544" xr:uid="{00000000-0004-0000-0000-000067000000}"/>
    <hyperlink ref="A106" r:id="rId105" location="issuecomment-2153175265" xr:uid="{00000000-0004-0000-0000-000068000000}"/>
    <hyperlink ref="A107" r:id="rId106" location="issuecomment-2156025254" xr:uid="{00000000-0004-0000-0000-000069000000}"/>
    <hyperlink ref="A108" r:id="rId107" location="discussion_r1608892185" xr:uid="{00000000-0004-0000-0000-00006A000000}"/>
    <hyperlink ref="A109" r:id="rId108" location="issuecomment-2088165855" xr:uid="{00000000-0004-0000-0000-00006B000000}"/>
    <hyperlink ref="A110" r:id="rId109" location="issuecomment-2200855111" xr:uid="{00000000-0004-0000-0000-00006C000000}"/>
    <hyperlink ref="A111" r:id="rId110" location="discussion_r1633407705" xr:uid="{00000000-0004-0000-0000-00006D000000}"/>
    <hyperlink ref="A112" r:id="rId111" location="discussion_r1636377158" xr:uid="{00000000-0004-0000-0000-00006E000000}"/>
    <hyperlink ref="A113" r:id="rId112" location="discussion_r1664512005" xr:uid="{00000000-0004-0000-0000-00006F000000}"/>
    <hyperlink ref="A114" r:id="rId113" location="issuecomment-2173528937" xr:uid="{00000000-0004-0000-0000-000070000000}"/>
    <hyperlink ref="A115" r:id="rId114" location="discussion_r1644509089" xr:uid="{00000000-0004-0000-0000-000071000000}"/>
    <hyperlink ref="A116" r:id="rId115" location="issuecomment-2260800234" xr:uid="{00000000-0004-0000-0000-000072000000}"/>
    <hyperlink ref="A117" r:id="rId116" location="issuecomment-2264155036" xr:uid="{00000000-0004-0000-0000-000073000000}"/>
    <hyperlink ref="A118" r:id="rId117" location="issuecomment-2243019123" xr:uid="{00000000-0004-0000-0000-000074000000}"/>
    <hyperlink ref="A119" r:id="rId118" location="issuecomment-2240820847" xr:uid="{00000000-0004-0000-0000-000075000000}"/>
    <hyperlink ref="A120" r:id="rId119" location="discussion_r1700879609" xr:uid="{00000000-0004-0000-0000-000076000000}"/>
    <hyperlink ref="A121" r:id="rId120" location="discussion_r1722395207" xr:uid="{00000000-0004-0000-0000-000077000000}"/>
    <hyperlink ref="A122" r:id="rId121" location="issuecomment-2223578650" xr:uid="{00000000-0004-0000-0000-000078000000}"/>
    <hyperlink ref="A123" r:id="rId122" location="issuecomment-2351227427" xr:uid="{00000000-0004-0000-0000-000079000000}"/>
    <hyperlink ref="A124" r:id="rId123" location="discussion_r1739214016" xr:uid="{00000000-0004-0000-0000-00007A000000}"/>
    <hyperlink ref="A125" r:id="rId124" location="issuecomment-2298195864" xr:uid="{00000000-0004-0000-0000-00007B000000}"/>
    <hyperlink ref="A126" r:id="rId125" location="issuecomment-2289243857" xr:uid="{00000000-0004-0000-0000-00007C000000}"/>
    <hyperlink ref="A127" r:id="rId126" location="discussion_r1703897845" xr:uid="{00000000-0004-0000-0000-00007D000000}"/>
    <hyperlink ref="A128" r:id="rId127" location="discussion_r1796528450" xr:uid="{00000000-0004-0000-0000-00007E000000}"/>
    <hyperlink ref="A129" r:id="rId128" location="issuecomment-2318997943" xr:uid="{00000000-0004-0000-0000-00007F000000}"/>
    <hyperlink ref="A130" r:id="rId129" location="issuecomment-2296393650" xr:uid="{00000000-0004-0000-0000-000080000000}"/>
    <hyperlink ref="A131" r:id="rId130" location="discussion_r1735211623" xr:uid="{00000000-0004-0000-0000-000081000000}"/>
    <hyperlink ref="A132" r:id="rId131" location="issuecomment-2269215873" xr:uid="{00000000-0004-0000-0000-000082000000}"/>
    <hyperlink ref="A133" r:id="rId132" location="issuecomment-2379969401" xr:uid="{00000000-0004-0000-0000-000083000000}"/>
    <hyperlink ref="A134" r:id="rId133" location="issuecomment-2380293932" xr:uid="{00000000-0004-0000-0000-000084000000}"/>
    <hyperlink ref="A135" r:id="rId134" location="issuecomment-2359660979" xr:uid="{00000000-0004-0000-0000-000085000000}"/>
    <hyperlink ref="A136" r:id="rId135" location="issuecomment-2377384077" xr:uid="{00000000-0004-0000-0000-000086000000}"/>
    <hyperlink ref="A137" r:id="rId136" location="issuecomment-2333447134" xr:uid="{00000000-0004-0000-0000-000087000000}"/>
    <hyperlink ref="A138" r:id="rId137" location="issuecomment-2341588367" xr:uid="{00000000-0004-0000-0000-000088000000}"/>
    <hyperlink ref="A139" r:id="rId138" location="issuecomment-2362192856" xr:uid="{00000000-0004-0000-0000-000089000000}"/>
    <hyperlink ref="A140" r:id="rId139" location="issuecomment-2331351518" xr:uid="{00000000-0004-0000-0000-00008A000000}"/>
    <hyperlink ref="A141" r:id="rId140" location="issuecomment-2331639363" xr:uid="{00000000-0004-0000-0000-00008B000000}"/>
    <hyperlink ref="A142" r:id="rId141" location="issuecomment-2445457916" xr:uid="{00000000-0004-0000-0000-00008C000000}"/>
    <hyperlink ref="A143" r:id="rId142" location="discussion_r1819880028" xr:uid="{00000000-0004-0000-0000-00008D000000}"/>
    <hyperlink ref="A144" r:id="rId143" location="issuecomment-2408543634" xr:uid="{00000000-0004-0000-0000-00008E000000}"/>
    <hyperlink ref="A145" r:id="rId144" location="issuecomment-2469782864" xr:uid="{00000000-0004-0000-0000-00008F000000}"/>
    <hyperlink ref="A146" r:id="rId145" location="discussion_r1856809685" xr:uid="{00000000-0004-0000-0000-000090000000}"/>
    <hyperlink ref="A147" r:id="rId146" location="discussion_r1851061100" xr:uid="{00000000-0004-0000-0000-000091000000}"/>
    <hyperlink ref="A148" r:id="rId147" location="discussion_r1906988397" xr:uid="{00000000-0004-0000-0000-000092000000}"/>
    <hyperlink ref="A149" r:id="rId148" location="discussion_r1837312269" xr:uid="{00000000-0004-0000-0000-000093000000}"/>
    <hyperlink ref="A150" r:id="rId149" location="discussion_r1850770100" xr:uid="{00000000-0004-0000-0000-000094000000}"/>
    <hyperlink ref="A151" r:id="rId150" location="issuecomment-2541135317" xr:uid="{00000000-0004-0000-0000-000095000000}"/>
    <hyperlink ref="A152" r:id="rId151" location="issuecomment-2541213731" xr:uid="{00000000-0004-0000-0000-000096000000}"/>
    <hyperlink ref="A153" r:id="rId152" location="issuecomment-2624532383" xr:uid="{00000000-0004-0000-0000-000097000000}"/>
    <hyperlink ref="A154" r:id="rId153" location="issuecomment-2663810694" xr:uid="{00000000-0004-0000-0000-000098000000}"/>
    <hyperlink ref="A155" r:id="rId154" location="issuecomment-2597614481" xr:uid="{00000000-0004-0000-0000-000099000000}"/>
    <hyperlink ref="A156" r:id="rId155" location="discussion_r1923604952" xr:uid="{00000000-0004-0000-0000-00009A000000}"/>
    <hyperlink ref="A157" r:id="rId156" location="discussion_r1905911491" xr:uid="{00000000-0004-0000-0000-00009B000000}"/>
    <hyperlink ref="A158" r:id="rId157" location="discussion_r1935940259" xr:uid="{00000000-0004-0000-0000-00009C000000}"/>
    <hyperlink ref="A159" r:id="rId158" location="issuecomment-2670908811" xr:uid="{00000000-0004-0000-0000-00009D000000}"/>
    <hyperlink ref="A160" r:id="rId159" location="issuecomment-2668874799" xr:uid="{00000000-0004-0000-0000-00009E000000}"/>
    <hyperlink ref="A161" r:id="rId160" location="discussion_r545695302" xr:uid="{00000000-0004-0000-0000-00009F000000}"/>
    <hyperlink ref="A162" r:id="rId161" location="discussion_r543497937" xr:uid="{00000000-0004-0000-0000-0000A0000000}"/>
    <hyperlink ref="A163" r:id="rId162" location="discussion_r567018223" xr:uid="{00000000-0004-0000-0000-0000A1000000}"/>
    <hyperlink ref="A164" r:id="rId163" location="issuecomment-765626800" xr:uid="{00000000-0004-0000-0000-0000A2000000}"/>
    <hyperlink ref="A165" r:id="rId164" location="issuecomment-756679378" xr:uid="{00000000-0004-0000-0000-0000A3000000}"/>
    <hyperlink ref="A166" r:id="rId165" location="issuecomment-756680553" xr:uid="{00000000-0004-0000-0000-0000A4000000}"/>
    <hyperlink ref="A167" r:id="rId166" location="discussion_r559645850" xr:uid="{00000000-0004-0000-0000-0000A5000000}"/>
    <hyperlink ref="A168" r:id="rId167" location="issuecomment-779549912" xr:uid="{00000000-0004-0000-0000-0000A6000000}"/>
    <hyperlink ref="A169" r:id="rId168" location="issuecomment-779550856" xr:uid="{00000000-0004-0000-0000-0000A7000000}"/>
    <hyperlink ref="A170" r:id="rId169" location="issuecomment-797531035" xr:uid="{00000000-0004-0000-0000-0000A8000000}"/>
    <hyperlink ref="A171" r:id="rId170" location="issuecomment-801625181" xr:uid="{00000000-0004-0000-0000-0000A9000000}"/>
    <hyperlink ref="A172" r:id="rId171" location="issuecomment-801091000" xr:uid="{00000000-0004-0000-0000-0000AA000000}"/>
    <hyperlink ref="A173" r:id="rId172" location="issuecomment-801105402" xr:uid="{00000000-0004-0000-0000-0000AB000000}"/>
    <hyperlink ref="A174" r:id="rId173" location="issuecomment-793654227" xr:uid="{00000000-0004-0000-0000-0000AC000000}"/>
    <hyperlink ref="A175" r:id="rId174" location="issuecomment-837020051" xr:uid="{00000000-0004-0000-0000-0000AD000000}"/>
    <hyperlink ref="A176" r:id="rId175" location="discussion_r637023560" xr:uid="{00000000-0004-0000-0000-0000AE000000}"/>
    <hyperlink ref="A177" r:id="rId176" location="issuecomment-856753293" xr:uid="{00000000-0004-0000-0000-0000AF000000}"/>
    <hyperlink ref="A178" r:id="rId177" location="issuecomment-848266671" xr:uid="{00000000-0004-0000-0000-0000B0000000}"/>
    <hyperlink ref="A179" r:id="rId178" location="issuecomment-837133410" xr:uid="{00000000-0004-0000-0000-0000B1000000}"/>
    <hyperlink ref="A180" r:id="rId179" location="issuecomment-835330799" xr:uid="{00000000-0004-0000-0000-0000B2000000}"/>
    <hyperlink ref="A181" r:id="rId180" location="issuecomment-832071725" xr:uid="{00000000-0004-0000-0000-0000B3000000}"/>
    <hyperlink ref="A182" r:id="rId181" location="issuecomment-984087504" xr:uid="{00000000-0004-0000-0000-0000B4000000}"/>
    <hyperlink ref="A183" r:id="rId182" location="issuecomment-985285721" xr:uid="{00000000-0004-0000-0000-0000B5000000}"/>
    <hyperlink ref="A184" r:id="rId183" location="issuecomment-863421123" xr:uid="{00000000-0004-0000-0000-0000B6000000}"/>
    <hyperlink ref="A185" r:id="rId184" location="issuecomment-888678243" xr:uid="{00000000-0004-0000-0000-0000B7000000}"/>
    <hyperlink ref="A186" r:id="rId185" location="issuecomment-884843049" xr:uid="{00000000-0004-0000-0000-0000B8000000}"/>
    <hyperlink ref="A187" r:id="rId186" location="discussion_r676438744" xr:uid="{00000000-0004-0000-0000-0000B9000000}"/>
    <hyperlink ref="A188" r:id="rId187" location="issuecomment-884723190" xr:uid="{00000000-0004-0000-0000-0000BA000000}"/>
    <hyperlink ref="A189" r:id="rId188" location="issuecomment-889533506" xr:uid="{00000000-0004-0000-0000-0000BB000000}"/>
    <hyperlink ref="A190" r:id="rId189" location="discussion_r679838147" xr:uid="{00000000-0004-0000-0000-0000BC000000}"/>
    <hyperlink ref="A191" r:id="rId190" location="issuecomment-878619570" xr:uid="{00000000-0004-0000-0000-0000BD000000}"/>
    <hyperlink ref="A192" r:id="rId191" location="issuecomment-883348633" xr:uid="{00000000-0004-0000-0000-0000BE000000}"/>
    <hyperlink ref="A193" r:id="rId192" location="issuecomment-874051052" xr:uid="{00000000-0004-0000-0000-0000BF000000}"/>
    <hyperlink ref="A194" r:id="rId193" location="issuecomment-900553213" xr:uid="{00000000-0004-0000-0000-0000C0000000}"/>
    <hyperlink ref="A195" r:id="rId194" location="issuecomment-910057384" xr:uid="{00000000-0004-0000-0000-0000C1000000}"/>
    <hyperlink ref="A196" r:id="rId195" location="issuecomment-913474266" xr:uid="{00000000-0004-0000-0000-0000C2000000}"/>
    <hyperlink ref="A197" r:id="rId196" location="issuecomment-892080725" xr:uid="{00000000-0004-0000-0000-0000C3000000}"/>
    <hyperlink ref="A198" r:id="rId197" location="issuecomment-892088511" xr:uid="{00000000-0004-0000-0000-0000C4000000}"/>
    <hyperlink ref="A199" r:id="rId198" location="issuecomment-904955772" xr:uid="{00000000-0004-0000-0000-0000C5000000}"/>
    <hyperlink ref="A200" r:id="rId199" location="issuecomment-899635644" xr:uid="{00000000-0004-0000-0000-0000C6000000}"/>
    <hyperlink ref="A201" r:id="rId200" location="issuecomment-900114068" xr:uid="{00000000-0004-0000-0000-0000C7000000}"/>
    <hyperlink ref="A202" r:id="rId201" location="issuecomment-901702021" xr:uid="{00000000-0004-0000-0000-0000C8000000}"/>
    <hyperlink ref="A203" r:id="rId202" location="issuecomment-901720443" xr:uid="{00000000-0004-0000-0000-0000C9000000}"/>
    <hyperlink ref="A204" r:id="rId203" location="issuecomment-906414490" xr:uid="{00000000-0004-0000-0000-0000CA000000}"/>
    <hyperlink ref="A205" r:id="rId204" location="discussion_r702913628" xr:uid="{00000000-0004-0000-0000-0000CB000000}"/>
    <hyperlink ref="A206" r:id="rId205" location="discussion_r702913729" xr:uid="{00000000-0004-0000-0000-0000CC000000}"/>
    <hyperlink ref="A207" r:id="rId206" location="issuecomment-924130437" xr:uid="{00000000-0004-0000-0000-0000CD000000}"/>
    <hyperlink ref="A208" r:id="rId207" location="issuecomment-924181155" xr:uid="{00000000-0004-0000-0000-0000CE000000}"/>
    <hyperlink ref="A209" r:id="rId208" location="issuecomment-932479529" xr:uid="{00000000-0004-0000-0000-0000CF000000}"/>
    <hyperlink ref="A210" r:id="rId209" location="issuecomment-920667290" xr:uid="{00000000-0004-0000-0000-0000D0000000}"/>
    <hyperlink ref="A211" r:id="rId210" location="discussion_r739843790" xr:uid="{00000000-0004-0000-0000-0000D1000000}"/>
    <hyperlink ref="A212" r:id="rId211" location="issuecomment-942076500" xr:uid="{00000000-0004-0000-0000-0000D2000000}"/>
    <hyperlink ref="A213" r:id="rId212" location="issuecomment-970242570" xr:uid="{00000000-0004-0000-0000-0000D3000000}"/>
    <hyperlink ref="A214" r:id="rId213" location="discussion_r779691202" xr:uid="{00000000-0004-0000-0000-0000D4000000}"/>
    <hyperlink ref="A215" r:id="rId214" location="issuecomment-970508235" xr:uid="{00000000-0004-0000-0000-0000D5000000}"/>
    <hyperlink ref="A216" r:id="rId215" location="issuecomment-971788502" xr:uid="{00000000-0004-0000-0000-0000D6000000}"/>
    <hyperlink ref="A217" r:id="rId216" location="issuecomment-976168691" xr:uid="{00000000-0004-0000-0000-0000D7000000}"/>
    <hyperlink ref="A218" r:id="rId217" location="discussion_r793138311" xr:uid="{00000000-0004-0000-0000-0000D8000000}"/>
    <hyperlink ref="A219" r:id="rId218" location="discussion_r769552260" xr:uid="{00000000-0004-0000-0000-0000D9000000}"/>
    <hyperlink ref="A220" r:id="rId219" location="issuecomment-1000705330" xr:uid="{00000000-0004-0000-0000-0000DA000000}"/>
    <hyperlink ref="A221" r:id="rId220" location="issuecomment-1000097664" xr:uid="{00000000-0004-0000-0000-0000DB000000}"/>
    <hyperlink ref="A222" r:id="rId221" location="issuecomment-1000107533" xr:uid="{00000000-0004-0000-0000-0000DC000000}"/>
    <hyperlink ref="A223" r:id="rId222" location="issuecomment-994836463" xr:uid="{00000000-0004-0000-0000-0000DD000000}"/>
    <hyperlink ref="A224" r:id="rId223" location="issuecomment-994966005" xr:uid="{00000000-0004-0000-0000-0000DE000000}"/>
    <hyperlink ref="A225" r:id="rId224" location="issuecomment-1009184755" xr:uid="{00000000-0004-0000-0000-0000DF000000}"/>
    <hyperlink ref="A226" r:id="rId225" location="discussion_r782253740" xr:uid="{00000000-0004-0000-0000-0000E0000000}"/>
    <hyperlink ref="A227" r:id="rId226" location="discussion_r765954024" xr:uid="{00000000-0004-0000-0000-0000E1000000}"/>
    <hyperlink ref="A228" r:id="rId227" location="issuecomment-1021693435" xr:uid="{00000000-0004-0000-0000-0000E2000000}"/>
    <hyperlink ref="A229" r:id="rId228" location="issuecomment-1004912593" xr:uid="{00000000-0004-0000-0000-0000E3000000}"/>
    <hyperlink ref="A230" r:id="rId229" location="issuecomment-1004920865" xr:uid="{00000000-0004-0000-0000-0000E4000000}"/>
    <hyperlink ref="A231" r:id="rId230" location="discussion_r784065168" xr:uid="{00000000-0004-0000-0000-0000E5000000}"/>
    <hyperlink ref="A232" r:id="rId231" location="discussion_r807925280" xr:uid="{00000000-0004-0000-0000-0000E6000000}"/>
    <hyperlink ref="A233" r:id="rId232" location="issuecomment-1026674714" xr:uid="{00000000-0004-0000-0000-0000E7000000}"/>
    <hyperlink ref="A234" r:id="rId233" location="discussion_r842892057" xr:uid="{00000000-0004-0000-0000-0000E8000000}"/>
    <hyperlink ref="A235" r:id="rId234" location="issuecomment-1075108673" xr:uid="{00000000-0004-0000-0000-0000E9000000}"/>
    <hyperlink ref="A236" r:id="rId235" location="discussion_r820811558" xr:uid="{00000000-0004-0000-0000-0000EA000000}"/>
    <hyperlink ref="A237" r:id="rId236" location="issuecomment-1066596746" xr:uid="{00000000-0004-0000-0000-0000EB000000}"/>
    <hyperlink ref="A238" r:id="rId237" location="discussion_r838791044" xr:uid="{00000000-0004-0000-0000-0000EC000000}"/>
    <hyperlink ref="A239" r:id="rId238" location="discussion_r857226722" xr:uid="{00000000-0004-0000-0000-0000ED000000}"/>
    <hyperlink ref="A240" r:id="rId239" location="discussion_r842299961" xr:uid="{00000000-0004-0000-0000-0000EE000000}"/>
    <hyperlink ref="A241" r:id="rId240" location="discussion_r877330203" xr:uid="{00000000-0004-0000-0000-0000EF000000}"/>
    <hyperlink ref="A242" r:id="rId241" location="discussion_r848878274" xr:uid="{00000000-0004-0000-0000-0000F0000000}"/>
    <hyperlink ref="A243" r:id="rId242" location="issuecomment-1142183578" xr:uid="{00000000-0004-0000-0000-0000F1000000}"/>
    <hyperlink ref="A244" r:id="rId243" location="issuecomment-1128036138" xr:uid="{00000000-0004-0000-0000-0000F2000000}"/>
    <hyperlink ref="A245" r:id="rId244" location="issuecomment-1128167602" xr:uid="{00000000-0004-0000-0000-0000F3000000}"/>
    <hyperlink ref="A246" r:id="rId245" location="issuecomment-1126159948" xr:uid="{00000000-0004-0000-0000-0000F4000000}"/>
    <hyperlink ref="A247" r:id="rId246" location="discussion_r870062272" xr:uid="{00000000-0004-0000-0000-0000F5000000}"/>
    <hyperlink ref="A248" r:id="rId247" location="issuecomment-1137141845" xr:uid="{00000000-0004-0000-0000-0000F6000000}"/>
    <hyperlink ref="A249" r:id="rId248" location="issuecomment-1128161665" xr:uid="{00000000-0004-0000-0000-0000F7000000}"/>
    <hyperlink ref="A250" r:id="rId249" location="issuecomment-1130487309" xr:uid="{00000000-0004-0000-0000-0000F8000000}"/>
    <hyperlink ref="A251" r:id="rId250" location="issuecomment-1144002961" xr:uid="{00000000-0004-0000-0000-0000F9000000}"/>
    <hyperlink ref="A252" r:id="rId251" location="issuecomment-1135152219" xr:uid="{00000000-0004-0000-0000-0000FA000000}"/>
    <hyperlink ref="A253" r:id="rId252" location="issuecomment-1125506624" xr:uid="{00000000-0004-0000-0000-0000FB000000}"/>
    <hyperlink ref="A254" r:id="rId253" location="issuecomment-1126018662" xr:uid="{00000000-0004-0000-0000-0000FC000000}"/>
    <hyperlink ref="A255" r:id="rId254" location="issuecomment-1127888784" xr:uid="{00000000-0004-0000-0000-0000FD000000}"/>
    <hyperlink ref="A256" r:id="rId255" location="issuecomment-1149608974" xr:uid="{00000000-0004-0000-0000-0000FE000000}"/>
    <hyperlink ref="A257" r:id="rId256" location="issuecomment-1152400891" xr:uid="{00000000-0004-0000-0000-0000FF000000}"/>
    <hyperlink ref="A258" r:id="rId257" location="discussion_r921977280" xr:uid="{00000000-0004-0000-0000-000000010000}"/>
    <hyperlink ref="A259" r:id="rId258" location="issuecomment-1185949928" xr:uid="{00000000-0004-0000-0000-000001010000}"/>
    <hyperlink ref="A260" r:id="rId259" location="issuecomment-1187325320" xr:uid="{00000000-0004-0000-0000-000002010000}"/>
    <hyperlink ref="A261" r:id="rId260" location="issuecomment-1147935372" xr:uid="{00000000-0004-0000-0000-000003010000}"/>
    <hyperlink ref="A262" r:id="rId261" location="discussion_r902025727" xr:uid="{00000000-0004-0000-0000-000004010000}"/>
    <hyperlink ref="A263" r:id="rId262" location="discussion_r889603761" xr:uid="{00000000-0004-0000-0000-000005010000}"/>
    <hyperlink ref="A264" r:id="rId263" location="issuecomment-1191480627" xr:uid="{00000000-0004-0000-0000-000006010000}"/>
    <hyperlink ref="A265" r:id="rId264" location="issuecomment-1191482467" xr:uid="{00000000-0004-0000-0000-000007010000}"/>
    <hyperlink ref="A266" r:id="rId265" location="issuecomment-1196792652" xr:uid="{00000000-0004-0000-0000-000008010000}"/>
    <hyperlink ref="A267" r:id="rId266" location="issuecomment-1184570444" xr:uid="{00000000-0004-0000-0000-000009010000}"/>
    <hyperlink ref="A268" r:id="rId267" location="issuecomment-1184585892" xr:uid="{00000000-0004-0000-0000-00000A010000}"/>
    <hyperlink ref="A269" r:id="rId268" location="issuecomment-1194626810" xr:uid="{00000000-0004-0000-0000-00000B010000}"/>
    <hyperlink ref="A270" r:id="rId269" location="issuecomment-1195475937" xr:uid="{00000000-0004-0000-0000-00000C010000}"/>
    <hyperlink ref="A271" r:id="rId270" location="issuecomment-1192619108" xr:uid="{00000000-0004-0000-0000-00000D010000}"/>
    <hyperlink ref="A272" r:id="rId271" location="issuecomment-1194310216" xr:uid="{00000000-0004-0000-0000-00000E010000}"/>
    <hyperlink ref="A273" r:id="rId272" location="discussion_r949989262" xr:uid="{00000000-0004-0000-0000-00000F010000}"/>
    <hyperlink ref="A274" r:id="rId273" location="issuecomment-1244930705" xr:uid="{00000000-0004-0000-0000-000010010000}"/>
    <hyperlink ref="A275" r:id="rId274" location="issuecomment-1224500795" xr:uid="{00000000-0004-0000-0000-000011010000}"/>
    <hyperlink ref="A276" r:id="rId275" location="issuecomment-1230715670" xr:uid="{00000000-0004-0000-0000-000012010000}"/>
    <hyperlink ref="A277" r:id="rId276" location="issuecomment-1209889538" xr:uid="{00000000-0004-0000-0000-000013010000}"/>
    <hyperlink ref="A278" r:id="rId277" location="issuecomment-1209892350" xr:uid="{00000000-0004-0000-0000-000014010000}"/>
    <hyperlink ref="A279" r:id="rId278" location="issuecomment-1228712092" xr:uid="{00000000-0004-0000-0000-000015010000}"/>
    <hyperlink ref="A280" r:id="rId279" location="issuecomment-1216415091" xr:uid="{00000000-0004-0000-0000-000016010000}"/>
    <hyperlink ref="A281" r:id="rId280" location="issuecomment-1215832526" xr:uid="{00000000-0004-0000-0000-000017010000}"/>
    <hyperlink ref="A282" r:id="rId281" location="issuecomment-1242158688" xr:uid="{00000000-0004-0000-0000-000018010000}"/>
    <hyperlink ref="A283" r:id="rId282" location="issuecomment-1248920649" xr:uid="{00000000-0004-0000-0000-000019010000}"/>
    <hyperlink ref="A284" r:id="rId283" location="discussion_r970362124" xr:uid="{00000000-0004-0000-0000-00001A010000}"/>
    <hyperlink ref="A285" r:id="rId284" location="issuecomment-1241109917" xr:uid="{00000000-0004-0000-0000-00001B010000}"/>
    <hyperlink ref="A286" r:id="rId285" location="issuecomment-1242259347" xr:uid="{00000000-0004-0000-0000-00001C010000}"/>
    <hyperlink ref="A287" r:id="rId286" location="issuecomment-1269341227" xr:uid="{00000000-0004-0000-0000-00001D010000}"/>
    <hyperlink ref="A288" r:id="rId287" location="discussion_r983726151" xr:uid="{00000000-0004-0000-0000-00001E010000}"/>
    <hyperlink ref="A289" r:id="rId288" location="discussion_r983737173" xr:uid="{00000000-0004-0000-0000-00001F010000}"/>
    <hyperlink ref="A290" r:id="rId289" location="issuecomment-1279388288" xr:uid="{00000000-0004-0000-0000-000020010000}"/>
    <hyperlink ref="A291" r:id="rId290" location="issuecomment-1279399748" xr:uid="{00000000-0004-0000-0000-000021010000}"/>
    <hyperlink ref="A292" r:id="rId291" location="issuecomment-1291473303" xr:uid="{00000000-0004-0000-0000-000022010000}"/>
    <hyperlink ref="A293" r:id="rId292" location="discussion_r1037213727" xr:uid="{00000000-0004-0000-0000-000023010000}"/>
    <hyperlink ref="A294" r:id="rId293" location="issuecomment-1286822344" xr:uid="{00000000-0004-0000-0000-000024010000}"/>
    <hyperlink ref="A295" r:id="rId294" location="issuecomment-1285849085" xr:uid="{00000000-0004-0000-0000-000025010000}"/>
    <hyperlink ref="A296" r:id="rId295" location="discussion_r1036121644" xr:uid="{00000000-0004-0000-0000-000026010000}"/>
    <hyperlink ref="A297" r:id="rId296" location="discussion_r1034190905" xr:uid="{00000000-0004-0000-0000-000027010000}"/>
    <hyperlink ref="A298" r:id="rId297" location="discussion_r1045712585" xr:uid="{00000000-0004-0000-0000-000028010000}"/>
    <hyperlink ref="A299" r:id="rId298" location="issuecomment-1326875286" xr:uid="{00000000-0004-0000-0000-000029010000}"/>
    <hyperlink ref="A300" r:id="rId299" location="discussion_r1034043175" xr:uid="{00000000-0004-0000-0000-00002A010000}"/>
    <hyperlink ref="A301" r:id="rId300" location="discussion_r1034925705" xr:uid="{00000000-0004-0000-0000-00002B010000}"/>
    <hyperlink ref="A302" r:id="rId301" location="discussion_r1016940226" xr:uid="{00000000-0004-0000-0000-00002C010000}"/>
    <hyperlink ref="A303" r:id="rId302" location="issuecomment-1308808154" xr:uid="{00000000-0004-0000-0000-00002D010000}"/>
    <hyperlink ref="A304" r:id="rId303" location="discussion_r1037122436" xr:uid="{00000000-0004-0000-0000-00002E010000}"/>
    <hyperlink ref="A305" r:id="rId304" location="issuecomment-1339101503" xr:uid="{00000000-0004-0000-0000-00002F010000}"/>
    <hyperlink ref="A306" r:id="rId305" location="issuecomment-1361050002" xr:uid="{00000000-0004-0000-0000-000030010000}"/>
    <hyperlink ref="A307" r:id="rId306" location="discussion_r1050858002" xr:uid="{00000000-0004-0000-0000-000031010000}"/>
    <hyperlink ref="A308" r:id="rId307" location="issuecomment-1357892871" xr:uid="{00000000-0004-0000-0000-000032010000}"/>
    <hyperlink ref="A309" r:id="rId308" location="issuecomment-1358114979" xr:uid="{00000000-0004-0000-0000-000033010000}"/>
    <hyperlink ref="A310" r:id="rId309" location="issuecomment-2670908811" xr:uid="{00000000-0004-0000-0000-000034010000}"/>
    <hyperlink ref="A311" r:id="rId310" location="issuecomment-2668874799" xr:uid="{00000000-0004-0000-0000-000035010000}"/>
    <hyperlink ref="A312" r:id="rId311" location="discussion_r1974730734" xr:uid="{00000000-0004-0000-0000-000036010000}"/>
    <hyperlink ref="A313" r:id="rId312" location="issuecomment-2738116384" xr:uid="{00000000-0004-0000-0000-000037010000}"/>
    <hyperlink ref="A314" r:id="rId313" location="issuecomment-2750462330" xr:uid="{00000000-0004-0000-0000-000038010000}"/>
    <hyperlink ref="A315" r:id="rId314" location="issuecomment-2730449028" xr:uid="{00000000-0004-0000-0000-000039010000}"/>
    <hyperlink ref="A316" r:id="rId315" location="discussion_r2006483914" xr:uid="{00000000-0004-0000-0000-00003A010000}"/>
    <hyperlink ref="A317" r:id="rId316" location="discussion_r2008301713" xr:uid="{00000000-0004-0000-0000-00003B010000}"/>
    <hyperlink ref="A318" r:id="rId317" location="discussion_r1977424201" xr:uid="{00000000-0004-0000-0000-00003C010000}"/>
    <hyperlink ref="A319" r:id="rId318" location="issuecomment-2703653274" xr:uid="{00000000-0004-0000-0000-00003D010000}"/>
    <hyperlink ref="A320" r:id="rId319" location="issuecomment-2693948041" xr:uid="{00000000-0004-0000-0000-00003E010000}"/>
    <hyperlink ref="A321" r:id="rId320" location="issuecomment-2795597092" xr:uid="{00000000-0004-0000-0000-00003F010000}"/>
    <hyperlink ref="A322" r:id="rId321" location="discussion_r2049478574" xr:uid="{00000000-0004-0000-0000-000040010000}"/>
    <hyperlink ref="A323" r:id="rId322" location="issuecomment-2888992525" xr:uid="{00000000-0004-0000-0000-000041010000}"/>
    <hyperlink ref="A324" r:id="rId323" location="issuecomment-2889053424" xr:uid="{00000000-0004-0000-0000-000042010000}"/>
    <hyperlink ref="A325" r:id="rId324" location="issuecomment-2889218109" xr:uid="{00000000-0004-0000-0000-000043010000}"/>
    <hyperlink ref="A326" r:id="rId325" location="issuecomment-2884484097" xr:uid="{00000000-0004-0000-0000-000044010000}"/>
    <hyperlink ref="A327" r:id="rId326" location="discussion_r2096028845" xr:uid="{00000000-0004-0000-0000-000045010000}"/>
    <hyperlink ref="A328" r:id="rId327" location="discussion_r2098766914" xr:uid="{00000000-0004-0000-0000-000046010000}"/>
    <hyperlink ref="A329" r:id="rId328" location="discussion_r2103548556" xr:uid="{00000000-0004-0000-0000-000047010000}"/>
    <hyperlink ref="A330" r:id="rId329" location="issuecomment-2887722760" xr:uid="{00000000-0004-0000-0000-000048010000}"/>
    <hyperlink ref="A331" r:id="rId330" location="issuecomment-3004356312" xr:uid="{00000000-0004-0000-0000-000049010000}"/>
    <hyperlink ref="A332" r:id="rId331" location="discussion_r2150341785" xr:uid="{00000000-0004-0000-0000-00004A010000}"/>
    <hyperlink ref="A333" r:id="rId332" location="discussion_r2157012512" xr:uid="{00000000-0004-0000-0000-00004B010000}"/>
    <hyperlink ref="A334" r:id="rId333" location="issuecomment-3134461611" xr:uid="{00000000-0004-0000-0000-00004C010000}"/>
    <hyperlink ref="A335" r:id="rId334" location="issuecomment-3050388713" xr:uid="{00000000-0004-0000-0000-00004D010000}"/>
    <hyperlink ref="A336" r:id="rId335" location="discussion_r2226684249" xr:uid="{00000000-0004-0000-0000-00004E010000}"/>
    <hyperlink ref="A337" r:id="rId336" location="issuecomment-3037435884" xr:uid="{00000000-0004-0000-0000-00004F010000}"/>
    <hyperlink ref="A338" r:id="rId337" location="issuecomment-3104643517" xr:uid="{00000000-0004-0000-0000-000050010000}"/>
    <hyperlink ref="A339" r:id="rId338" location="discussion_r2294739847" xr:uid="{00000000-0004-0000-0000-000051010000}"/>
    <hyperlink ref="A340" r:id="rId339" location="discussion_r2279534507" xr:uid="{00000000-0004-0000-0000-000052010000}"/>
    <hyperlink ref="A341" r:id="rId340" location="discussion_r2380229424" xr:uid="{00000000-0004-0000-0000-000053010000}"/>
    <hyperlink ref="A342" r:id="rId341" location="issuecomment-3314117225" xr:uid="{00000000-0004-0000-0000-000054010000}"/>
    <hyperlink ref="A343" r:id="rId342" location="issuecomment-3274242189" xr:uid="{00000000-0004-0000-0000-000055010000}"/>
    <hyperlink ref="A344" r:id="rId343" location="discussion_r2349918819" xr:uid="{00000000-0004-0000-0000-000056010000}"/>
    <hyperlink ref="A345" r:id="rId344" location="discussion_r2353846205" xr:uid="{00000000-0004-0000-0000-000057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378"/>
  <sheetViews>
    <sheetView workbookViewId="0"/>
  </sheetViews>
  <sheetFormatPr baseColWidth="10" defaultColWidth="12.6640625" defaultRowHeight="15.75" customHeight="1"/>
  <cols>
    <col min="1" max="1" width="76" customWidth="1"/>
    <col min="3" max="3" width="62.83203125" customWidth="1"/>
    <col min="7" max="7" width="75" customWidth="1"/>
    <col min="9" max="9" width="28.33203125" customWidth="1"/>
    <col min="10" max="10" width="19.6640625" customWidth="1"/>
  </cols>
  <sheetData>
    <row r="1" spans="1:10" ht="15.75" customHeight="1">
      <c r="A1" s="4" t="s">
        <v>379</v>
      </c>
      <c r="B1" s="2" t="str">
        <f t="shared" ref="B1:B255" si="0">IF(COUNTIF(C:C, A1) = 0, "no", IF(COUNTIF(C:C, A1) = 1, "OK", "duplicate"))</f>
        <v>OK</v>
      </c>
      <c r="C1" s="5" t="s">
        <v>2</v>
      </c>
      <c r="E1" s="2" t="str">
        <f t="shared" ref="E1:E255" si="1">IF(COUNTIF(A:A, C1) = 0, "no", IF(COUNTIF(A:A, C1) = 1, "OK", "duplicate"))</f>
        <v>OK</v>
      </c>
      <c r="G1" s="3" t="s">
        <v>2</v>
      </c>
      <c r="H1" s="2" t="str">
        <f t="shared" ref="H1:H255" si="2">IF(COUNTIF(A:A, G1) = 0, "no", IF(COUNTIF(A:A, G1) = 1, "OK", "duplicate"))</f>
        <v>OK</v>
      </c>
      <c r="I1" s="2" t="e">
        <f t="array" aca="1" ref="I1" ca="1">_xludf.XLOOKUP(G1,Label!$A$2:$A$309, Label!$B$2:$B$309)</f>
        <v>#NAME?</v>
      </c>
      <c r="J1" s="2" t="e">
        <f t="array" aca="1" ref="J1" ca="1">_xludf.XLOOKUP(G1,Label!$A$2:$A$309, Label!$C$2:$C$309)</f>
        <v>#NAME?</v>
      </c>
    </row>
    <row r="2" spans="1:10" ht="15.75" customHeight="1">
      <c r="A2" s="4" t="s">
        <v>380</v>
      </c>
      <c r="B2" s="2" t="str">
        <f t="shared" si="0"/>
        <v>OK</v>
      </c>
      <c r="C2" s="5" t="s">
        <v>4</v>
      </c>
      <c r="E2" s="2" t="str">
        <f t="shared" si="1"/>
        <v>OK</v>
      </c>
      <c r="G2" s="5" t="s">
        <v>4</v>
      </c>
      <c r="H2" s="2" t="str">
        <f t="shared" si="2"/>
        <v>OK</v>
      </c>
      <c r="I2" s="2" t="e">
        <f t="array" aca="1" ref="I2" ca="1">_xludf.XLOOKUP(G2,Label!$A$2:$A$309, Label!$B$2:$B$309)</f>
        <v>#NAME?</v>
      </c>
      <c r="J2" s="2" t="e">
        <f t="array" aca="1" ref="J2" ca="1">_xludf.XLOOKUP(G2,Label!$A$2:$A$309, Label!$C$2:$C$309)</f>
        <v>#NAME?</v>
      </c>
    </row>
    <row r="3" spans="1:10" ht="15.75" customHeight="1">
      <c r="A3" s="4" t="s">
        <v>381</v>
      </c>
      <c r="B3" s="2" t="str">
        <f t="shared" si="0"/>
        <v>OK</v>
      </c>
      <c r="C3" s="5" t="s">
        <v>6</v>
      </c>
      <c r="E3" s="2" t="str">
        <f t="shared" si="1"/>
        <v>OK</v>
      </c>
      <c r="G3" s="5" t="s">
        <v>6</v>
      </c>
      <c r="H3" s="2" t="str">
        <f t="shared" si="2"/>
        <v>OK</v>
      </c>
      <c r="I3" s="2" t="e">
        <f t="array" aca="1" ref="I3" ca="1">_xludf.XLOOKUP(G3,Label!$A$2:$A$309, Label!$B$2:$B$309)</f>
        <v>#NAME?</v>
      </c>
      <c r="J3" s="2" t="e">
        <f t="array" aca="1" ref="J3" ca="1">_xludf.XLOOKUP(G3,Label!$A$2:$A$309, Label!$C$2:$C$309)</f>
        <v>#NAME?</v>
      </c>
    </row>
    <row r="4" spans="1:10" ht="15.75" customHeight="1">
      <c r="A4" s="4" t="s">
        <v>382</v>
      </c>
      <c r="B4" s="2" t="str">
        <f t="shared" si="0"/>
        <v>OK</v>
      </c>
      <c r="C4" s="5" t="s">
        <v>8</v>
      </c>
      <c r="E4" s="2" t="str">
        <f t="shared" si="1"/>
        <v>OK</v>
      </c>
      <c r="G4" s="5" t="s">
        <v>8</v>
      </c>
      <c r="H4" s="2" t="str">
        <f t="shared" si="2"/>
        <v>OK</v>
      </c>
      <c r="I4" s="2" t="e">
        <f t="array" aca="1" ref="I4" ca="1">_xludf.XLOOKUP(G4,Label!$A$2:$A$309, Label!$B$2:$B$309)</f>
        <v>#NAME?</v>
      </c>
      <c r="J4" s="2" t="e">
        <f t="array" aca="1" ref="J4" ca="1">_xludf.XLOOKUP(G4,Label!$A$2:$A$309, Label!$C$2:$C$309)</f>
        <v>#NAME?</v>
      </c>
    </row>
    <row r="5" spans="1:10" ht="15.75" customHeight="1">
      <c r="A5" s="4" t="s">
        <v>383</v>
      </c>
      <c r="B5" s="2" t="str">
        <f t="shared" si="0"/>
        <v>OK</v>
      </c>
      <c r="C5" s="5" t="s">
        <v>10</v>
      </c>
      <c r="E5" s="2" t="str">
        <f t="shared" si="1"/>
        <v>OK</v>
      </c>
      <c r="G5" s="5" t="s">
        <v>10</v>
      </c>
      <c r="H5" s="2" t="str">
        <f t="shared" si="2"/>
        <v>OK</v>
      </c>
      <c r="I5" s="2" t="e">
        <f t="array" aca="1" ref="I5" ca="1">_xludf.XLOOKUP(G5,Label!$A$2:$A$309, Label!$B$2:$B$309)</f>
        <v>#NAME?</v>
      </c>
      <c r="J5" s="2" t="e">
        <f t="array" aca="1" ref="J5" ca="1">_xludf.XLOOKUP(G5,Label!$A$2:$A$309, Label!$C$2:$C$309)</f>
        <v>#NAME?</v>
      </c>
    </row>
    <row r="6" spans="1:10" ht="15.75" customHeight="1">
      <c r="A6" s="4" t="s">
        <v>384</v>
      </c>
      <c r="B6" s="2" t="str">
        <f t="shared" si="0"/>
        <v>OK</v>
      </c>
      <c r="C6" s="5" t="s">
        <v>12</v>
      </c>
      <c r="E6" s="2" t="str">
        <f t="shared" si="1"/>
        <v>OK</v>
      </c>
      <c r="G6" s="5" t="s">
        <v>12</v>
      </c>
      <c r="H6" s="2" t="str">
        <f t="shared" si="2"/>
        <v>OK</v>
      </c>
      <c r="I6" s="2" t="e">
        <f t="array" aca="1" ref="I6" ca="1">_xludf.XLOOKUP(G6,Label!$A$2:$A$309, Label!$B$2:$B$309)</f>
        <v>#NAME?</v>
      </c>
      <c r="J6" s="2" t="e">
        <f t="array" aca="1" ref="J6" ca="1">_xludf.XLOOKUP(G6,Label!$A$2:$A$309, Label!$C$2:$C$309)</f>
        <v>#NAME?</v>
      </c>
    </row>
    <row r="7" spans="1:10" ht="15.75" customHeight="1">
      <c r="A7" s="4" t="s">
        <v>385</v>
      </c>
      <c r="B7" s="2" t="str">
        <f t="shared" si="0"/>
        <v>OK</v>
      </c>
      <c r="C7" s="5" t="s">
        <v>13</v>
      </c>
      <c r="E7" s="2" t="str">
        <f t="shared" si="1"/>
        <v>OK</v>
      </c>
      <c r="G7" s="5" t="s">
        <v>13</v>
      </c>
      <c r="H7" s="2" t="str">
        <f t="shared" si="2"/>
        <v>OK</v>
      </c>
      <c r="I7" s="2" t="e">
        <f t="array" aca="1" ref="I7" ca="1">_xludf.XLOOKUP(G7,Label!$A$2:$A$309, Label!$B$2:$B$309)</f>
        <v>#NAME?</v>
      </c>
      <c r="J7" s="2" t="e">
        <f t="array" aca="1" ref="J7" ca="1">_xludf.XLOOKUP(G7,Label!$A$2:$A$309, Label!$C$2:$C$309)</f>
        <v>#NAME?</v>
      </c>
    </row>
    <row r="8" spans="1:10" ht="15.75" customHeight="1">
      <c r="A8" s="4" t="s">
        <v>386</v>
      </c>
      <c r="B8" s="2" t="str">
        <f t="shared" si="0"/>
        <v>OK</v>
      </c>
      <c r="C8" s="5" t="s">
        <v>15</v>
      </c>
      <c r="E8" s="2" t="str">
        <f t="shared" si="1"/>
        <v>OK</v>
      </c>
      <c r="G8" s="5" t="s">
        <v>15</v>
      </c>
      <c r="H8" s="2" t="str">
        <f t="shared" si="2"/>
        <v>OK</v>
      </c>
      <c r="I8" s="2" t="e">
        <f t="array" aca="1" ref="I8" ca="1">_xludf.XLOOKUP(G8,Label!$A$2:$A$309, Label!$B$2:$B$309)</f>
        <v>#NAME?</v>
      </c>
      <c r="J8" s="2" t="e">
        <f t="array" aca="1" ref="J8" ca="1">_xludf.XLOOKUP(G8,Label!$A$2:$A$309, Label!$C$2:$C$309)</f>
        <v>#NAME?</v>
      </c>
    </row>
    <row r="9" spans="1:10" ht="15.75" customHeight="1">
      <c r="A9" s="4" t="s">
        <v>387</v>
      </c>
      <c r="B9" s="2" t="str">
        <f t="shared" si="0"/>
        <v>OK</v>
      </c>
      <c r="C9" s="5" t="s">
        <v>16</v>
      </c>
      <c r="E9" s="2" t="str">
        <f t="shared" si="1"/>
        <v>OK</v>
      </c>
      <c r="G9" s="5" t="s">
        <v>16</v>
      </c>
      <c r="H9" s="2" t="str">
        <f t="shared" si="2"/>
        <v>OK</v>
      </c>
      <c r="I9" s="2" t="e">
        <f t="array" aca="1" ref="I9" ca="1">_xludf.XLOOKUP(G9,Label!$A$2:$A$309, Label!$B$2:$B$309)</f>
        <v>#NAME?</v>
      </c>
      <c r="J9" s="2" t="e">
        <f t="array" aca="1" ref="J9" ca="1">_xludf.XLOOKUP(G9,Label!$A$2:$A$309, Label!$C$2:$C$309)</f>
        <v>#NAME?</v>
      </c>
    </row>
    <row r="10" spans="1:10" ht="15.75" customHeight="1">
      <c r="A10" s="4" t="s">
        <v>388</v>
      </c>
      <c r="B10" s="2" t="str">
        <f t="shared" si="0"/>
        <v>OK</v>
      </c>
      <c r="C10" s="5" t="s">
        <v>17</v>
      </c>
      <c r="E10" s="2" t="str">
        <f t="shared" si="1"/>
        <v>OK</v>
      </c>
      <c r="G10" s="5" t="s">
        <v>17</v>
      </c>
      <c r="H10" s="2" t="str">
        <f t="shared" si="2"/>
        <v>OK</v>
      </c>
      <c r="I10" s="2" t="e">
        <f t="array" aca="1" ref="I10" ca="1">_xludf.XLOOKUP(G10,Label!$A$2:$A$309, Label!$B$2:$B$309)</f>
        <v>#NAME?</v>
      </c>
      <c r="J10" s="2" t="e">
        <f t="array" aca="1" ref="J10" ca="1">_xludf.XLOOKUP(G10,Label!$A$2:$A$309, Label!$C$2:$C$309)</f>
        <v>#NAME?</v>
      </c>
    </row>
    <row r="11" spans="1:10" ht="15.75" customHeight="1">
      <c r="A11" s="4" t="s">
        <v>389</v>
      </c>
      <c r="B11" s="2" t="str">
        <f t="shared" si="0"/>
        <v>OK</v>
      </c>
      <c r="C11" s="5" t="s">
        <v>19</v>
      </c>
      <c r="E11" s="2" t="str">
        <f t="shared" si="1"/>
        <v>OK</v>
      </c>
      <c r="G11" s="5" t="s">
        <v>19</v>
      </c>
      <c r="H11" s="2" t="str">
        <f t="shared" si="2"/>
        <v>OK</v>
      </c>
      <c r="I11" s="2" t="e">
        <f t="array" aca="1" ref="I11" ca="1">_xludf.XLOOKUP(G11,Label!$A$2:$A$309, Label!$B$2:$B$309)</f>
        <v>#NAME?</v>
      </c>
      <c r="J11" s="2" t="e">
        <f t="array" aca="1" ref="J11" ca="1">_xludf.XLOOKUP(G11,Label!$A$2:$A$309, Label!$C$2:$C$309)</f>
        <v>#NAME?</v>
      </c>
    </row>
    <row r="12" spans="1:10" ht="15.75" customHeight="1">
      <c r="A12" s="4" t="s">
        <v>390</v>
      </c>
      <c r="B12" s="2" t="str">
        <f t="shared" si="0"/>
        <v>OK</v>
      </c>
      <c r="C12" s="5" t="s">
        <v>21</v>
      </c>
      <c r="E12" s="2" t="str">
        <f t="shared" si="1"/>
        <v>OK</v>
      </c>
      <c r="G12" s="5" t="s">
        <v>21</v>
      </c>
      <c r="H12" s="2" t="str">
        <f t="shared" si="2"/>
        <v>OK</v>
      </c>
      <c r="I12" s="2" t="e">
        <f t="array" aca="1" ref="I12" ca="1">_xludf.XLOOKUP(G12,Label!$A$2:$A$309, Label!$B$2:$B$309)</f>
        <v>#NAME?</v>
      </c>
      <c r="J12" s="2" t="e">
        <f t="array" aca="1" ref="J12" ca="1">_xludf.XLOOKUP(G12,Label!$A$2:$A$309, Label!$C$2:$C$309)</f>
        <v>#NAME?</v>
      </c>
    </row>
    <row r="13" spans="1:10" ht="15.75" customHeight="1">
      <c r="A13" s="4" t="s">
        <v>391</v>
      </c>
      <c r="B13" s="2" t="str">
        <f t="shared" si="0"/>
        <v>OK</v>
      </c>
      <c r="C13" s="5" t="s">
        <v>24</v>
      </c>
      <c r="E13" s="2" t="str">
        <f t="shared" si="1"/>
        <v>OK</v>
      </c>
      <c r="G13" s="5" t="s">
        <v>24</v>
      </c>
      <c r="H13" s="2" t="str">
        <f t="shared" si="2"/>
        <v>OK</v>
      </c>
      <c r="I13" s="2" t="e">
        <f t="array" aca="1" ref="I13" ca="1">_xludf.XLOOKUP(G13,Label!$A$2:$A$309, Label!$B$2:$B$309)</f>
        <v>#NAME?</v>
      </c>
      <c r="J13" s="2" t="e">
        <f t="array" aca="1" ref="J13" ca="1">_xludf.XLOOKUP(G13,Label!$A$2:$A$309, Label!$C$2:$C$309)</f>
        <v>#NAME?</v>
      </c>
    </row>
    <row r="14" spans="1:10" ht="15.75" customHeight="1">
      <c r="A14" s="4" t="s">
        <v>392</v>
      </c>
      <c r="B14" s="2" t="str">
        <f t="shared" si="0"/>
        <v>OK</v>
      </c>
      <c r="C14" s="5" t="s">
        <v>25</v>
      </c>
      <c r="E14" s="2" t="str">
        <f t="shared" si="1"/>
        <v>OK</v>
      </c>
      <c r="G14" s="5" t="s">
        <v>25</v>
      </c>
      <c r="H14" s="2" t="str">
        <f t="shared" si="2"/>
        <v>OK</v>
      </c>
      <c r="I14" s="2" t="e">
        <f t="array" aca="1" ref="I14" ca="1">_xludf.XLOOKUP(G14,Label!$A$2:$A$309, Label!$B$2:$B$309)</f>
        <v>#NAME?</v>
      </c>
      <c r="J14" s="2" t="e">
        <f t="array" aca="1" ref="J14" ca="1">_xludf.XLOOKUP(G14,Label!$A$2:$A$309, Label!$C$2:$C$309)</f>
        <v>#NAME?</v>
      </c>
    </row>
    <row r="15" spans="1:10" ht="15.75" customHeight="1">
      <c r="A15" s="4" t="s">
        <v>393</v>
      </c>
      <c r="B15" s="2" t="str">
        <f t="shared" si="0"/>
        <v>OK</v>
      </c>
      <c r="C15" s="5" t="s">
        <v>28</v>
      </c>
      <c r="E15" s="2" t="str">
        <f t="shared" si="1"/>
        <v>OK</v>
      </c>
      <c r="G15" s="5" t="s">
        <v>28</v>
      </c>
      <c r="H15" s="2" t="str">
        <f t="shared" si="2"/>
        <v>OK</v>
      </c>
      <c r="I15" s="2" t="e">
        <f t="array" aca="1" ref="I15" ca="1">_xludf.XLOOKUP(G15,Label!$A$2:$A$309, Label!$B$2:$B$309)</f>
        <v>#NAME?</v>
      </c>
      <c r="J15" s="2" t="e">
        <f t="array" aca="1" ref="J15" ca="1">_xludf.XLOOKUP(G15,Label!$A$2:$A$309, Label!$C$2:$C$309)</f>
        <v>#NAME?</v>
      </c>
    </row>
    <row r="16" spans="1:10" ht="15.75" customHeight="1">
      <c r="A16" s="4" t="s">
        <v>394</v>
      </c>
      <c r="B16" s="2" t="str">
        <f t="shared" si="0"/>
        <v>OK</v>
      </c>
      <c r="C16" s="5" t="s">
        <v>29</v>
      </c>
      <c r="E16" s="2" t="str">
        <f t="shared" si="1"/>
        <v>OK</v>
      </c>
      <c r="G16" s="5" t="s">
        <v>29</v>
      </c>
      <c r="H16" s="2" t="str">
        <f t="shared" si="2"/>
        <v>OK</v>
      </c>
      <c r="I16" s="2" t="e">
        <f t="array" aca="1" ref="I16" ca="1">_xludf.XLOOKUP(G16,Label!$A$2:$A$309, Label!$B$2:$B$309)</f>
        <v>#NAME?</v>
      </c>
      <c r="J16" s="2" t="e">
        <f t="array" aca="1" ref="J16" ca="1">_xludf.XLOOKUP(G16,Label!$A$2:$A$309, Label!$C$2:$C$309)</f>
        <v>#NAME?</v>
      </c>
    </row>
    <row r="17" spans="1:10" ht="15.75" customHeight="1">
      <c r="A17" s="4" t="s">
        <v>395</v>
      </c>
      <c r="B17" s="2" t="str">
        <f t="shared" si="0"/>
        <v>OK</v>
      </c>
      <c r="C17" s="5" t="s">
        <v>30</v>
      </c>
      <c r="E17" s="2" t="str">
        <f t="shared" si="1"/>
        <v>OK</v>
      </c>
      <c r="G17" s="5" t="s">
        <v>30</v>
      </c>
      <c r="H17" s="2" t="str">
        <f t="shared" si="2"/>
        <v>OK</v>
      </c>
      <c r="I17" s="2" t="e">
        <f t="array" aca="1" ref="I17" ca="1">_xludf.XLOOKUP(G17,Label!$A$2:$A$309, Label!$B$2:$B$309)</f>
        <v>#NAME?</v>
      </c>
      <c r="J17" s="2" t="e">
        <f t="array" aca="1" ref="J17" ca="1">_xludf.XLOOKUP(G17,Label!$A$2:$A$309, Label!$C$2:$C$309)</f>
        <v>#NAME?</v>
      </c>
    </row>
    <row r="18" spans="1:10" ht="15.75" customHeight="1">
      <c r="A18" s="4" t="s">
        <v>396</v>
      </c>
      <c r="B18" s="2" t="str">
        <f t="shared" si="0"/>
        <v>OK</v>
      </c>
      <c r="C18" s="5" t="s">
        <v>32</v>
      </c>
      <c r="E18" s="2" t="str">
        <f t="shared" si="1"/>
        <v>OK</v>
      </c>
      <c r="G18" s="5" t="s">
        <v>32</v>
      </c>
      <c r="H18" s="2" t="str">
        <f t="shared" si="2"/>
        <v>OK</v>
      </c>
      <c r="I18" s="2" t="e">
        <f t="array" aca="1" ref="I18" ca="1">_xludf.XLOOKUP(G18,Label!$A$2:$A$309, Label!$B$2:$B$309)</f>
        <v>#NAME?</v>
      </c>
      <c r="J18" s="2" t="e">
        <f t="array" aca="1" ref="J18" ca="1">_xludf.XLOOKUP(G18,Label!$A$2:$A$309, Label!$C$2:$C$309)</f>
        <v>#NAME?</v>
      </c>
    </row>
    <row r="19" spans="1:10" ht="15.75" customHeight="1">
      <c r="A19" s="4" t="s">
        <v>397</v>
      </c>
      <c r="B19" s="2" t="str">
        <f t="shared" si="0"/>
        <v>OK</v>
      </c>
      <c r="C19" s="5" t="s">
        <v>33</v>
      </c>
      <c r="E19" s="2" t="str">
        <f t="shared" si="1"/>
        <v>OK</v>
      </c>
      <c r="G19" s="5" t="s">
        <v>33</v>
      </c>
      <c r="H19" s="2" t="str">
        <f t="shared" si="2"/>
        <v>OK</v>
      </c>
      <c r="I19" s="2" t="e">
        <f t="array" aca="1" ref="I19" ca="1">_xludf.XLOOKUP(G19,Label!$A$2:$A$309, Label!$B$2:$B$309)</f>
        <v>#NAME?</v>
      </c>
      <c r="J19" s="2" t="e">
        <f t="array" aca="1" ref="J19" ca="1">_xludf.XLOOKUP(G19,Label!$A$2:$A$309, Label!$C$2:$C$309)</f>
        <v>#NAME?</v>
      </c>
    </row>
    <row r="20" spans="1:10" ht="15.75" customHeight="1">
      <c r="A20" s="4" t="s">
        <v>398</v>
      </c>
      <c r="B20" s="2" t="str">
        <f t="shared" si="0"/>
        <v>OK</v>
      </c>
      <c r="C20" s="5" t="s">
        <v>35</v>
      </c>
      <c r="E20" s="2" t="str">
        <f t="shared" si="1"/>
        <v>OK</v>
      </c>
      <c r="G20" s="5" t="s">
        <v>35</v>
      </c>
      <c r="H20" s="2" t="str">
        <f t="shared" si="2"/>
        <v>OK</v>
      </c>
      <c r="I20" s="2" t="e">
        <f t="array" aca="1" ref="I20" ca="1">_xludf.XLOOKUP(G20,Label!$A$2:$A$309, Label!$B$2:$B$309)</f>
        <v>#NAME?</v>
      </c>
      <c r="J20" s="2" t="e">
        <f t="array" aca="1" ref="J20" ca="1">_xludf.XLOOKUP(G20,Label!$A$2:$A$309, Label!$C$2:$C$309)</f>
        <v>#NAME?</v>
      </c>
    </row>
    <row r="21" spans="1:10" ht="15.75" customHeight="1">
      <c r="A21" s="4" t="s">
        <v>399</v>
      </c>
      <c r="B21" s="2" t="str">
        <f t="shared" si="0"/>
        <v>OK</v>
      </c>
      <c r="C21" s="5" t="s">
        <v>36</v>
      </c>
      <c r="E21" s="2" t="str">
        <f t="shared" si="1"/>
        <v>OK</v>
      </c>
      <c r="G21" s="5" t="s">
        <v>36</v>
      </c>
      <c r="H21" s="2" t="str">
        <f t="shared" si="2"/>
        <v>OK</v>
      </c>
      <c r="I21" s="2" t="e">
        <f t="array" aca="1" ref="I21" ca="1">_xludf.XLOOKUP(G21,Label!$A$2:$A$309, Label!$B$2:$B$309)</f>
        <v>#NAME?</v>
      </c>
      <c r="J21" s="2" t="e">
        <f t="array" aca="1" ref="J21" ca="1">_xludf.XLOOKUP(G21,Label!$A$2:$A$309, Label!$C$2:$C$309)</f>
        <v>#NAME?</v>
      </c>
    </row>
    <row r="22" spans="1:10" ht="15.75" customHeight="1">
      <c r="A22" s="4" t="s">
        <v>400</v>
      </c>
      <c r="B22" s="2" t="str">
        <f t="shared" si="0"/>
        <v>OK</v>
      </c>
      <c r="C22" s="5" t="s">
        <v>37</v>
      </c>
      <c r="E22" s="2" t="str">
        <f t="shared" si="1"/>
        <v>OK</v>
      </c>
      <c r="G22" s="5" t="s">
        <v>37</v>
      </c>
      <c r="H22" s="2" t="str">
        <f t="shared" si="2"/>
        <v>OK</v>
      </c>
      <c r="I22" s="2" t="e">
        <f t="array" aca="1" ref="I22" ca="1">_xludf.XLOOKUP(G22,Label!$A$2:$A$309, Label!$B$2:$B$309)</f>
        <v>#NAME?</v>
      </c>
      <c r="J22" s="2" t="e">
        <f t="array" aca="1" ref="J22" ca="1">_xludf.XLOOKUP(G22,Label!$A$2:$A$309, Label!$C$2:$C$309)</f>
        <v>#NAME?</v>
      </c>
    </row>
    <row r="23" spans="1:10" ht="15.75" customHeight="1">
      <c r="A23" s="4" t="s">
        <v>401</v>
      </c>
      <c r="B23" s="2" t="str">
        <f t="shared" si="0"/>
        <v>OK</v>
      </c>
      <c r="C23" s="5" t="s">
        <v>38</v>
      </c>
      <c r="E23" s="2" t="str">
        <f t="shared" si="1"/>
        <v>OK</v>
      </c>
      <c r="G23" s="5" t="s">
        <v>38</v>
      </c>
      <c r="H23" s="2" t="str">
        <f t="shared" si="2"/>
        <v>OK</v>
      </c>
      <c r="I23" s="2" t="e">
        <f t="array" aca="1" ref="I23" ca="1">_xludf.XLOOKUP(G23,Label!$A$2:$A$309, Label!$B$2:$B$309)</f>
        <v>#NAME?</v>
      </c>
      <c r="J23" s="2" t="e">
        <f t="array" aca="1" ref="J23" ca="1">_xludf.XLOOKUP(G23,Label!$A$2:$A$309, Label!$C$2:$C$309)</f>
        <v>#NAME?</v>
      </c>
    </row>
    <row r="24" spans="1:10" ht="15.75" customHeight="1">
      <c r="A24" s="4" t="s">
        <v>402</v>
      </c>
      <c r="B24" s="2" t="str">
        <f t="shared" si="0"/>
        <v>OK</v>
      </c>
      <c r="C24" s="5" t="s">
        <v>39</v>
      </c>
      <c r="E24" s="2" t="str">
        <f t="shared" si="1"/>
        <v>OK</v>
      </c>
      <c r="G24" s="5" t="s">
        <v>39</v>
      </c>
      <c r="H24" s="2" t="str">
        <f t="shared" si="2"/>
        <v>OK</v>
      </c>
      <c r="I24" s="2" t="e">
        <f t="array" aca="1" ref="I24" ca="1">_xludf.XLOOKUP(G24,Label!$A$2:$A$309, Label!$B$2:$B$309)</f>
        <v>#NAME?</v>
      </c>
      <c r="J24" s="2" t="e">
        <f t="array" aca="1" ref="J24" ca="1">_xludf.XLOOKUP(G24,Label!$A$2:$A$309, Label!$C$2:$C$309)</f>
        <v>#NAME?</v>
      </c>
    </row>
    <row r="25" spans="1:10" ht="15.75" customHeight="1">
      <c r="A25" s="4" t="s">
        <v>403</v>
      </c>
      <c r="B25" s="2" t="str">
        <f t="shared" si="0"/>
        <v>OK</v>
      </c>
      <c r="C25" s="3" t="s">
        <v>40</v>
      </c>
      <c r="E25" s="2" t="str">
        <f t="shared" si="1"/>
        <v>OK</v>
      </c>
      <c r="G25" s="5" t="s">
        <v>40</v>
      </c>
      <c r="H25" s="2" t="str">
        <f t="shared" si="2"/>
        <v>OK</v>
      </c>
      <c r="I25" s="2" t="e">
        <f t="array" aca="1" ref="I25" ca="1">_xludf.XLOOKUP(G25,Label!$A$2:$A$309, Label!$B$2:$B$309)</f>
        <v>#NAME?</v>
      </c>
      <c r="J25" s="2" t="e">
        <f t="array" aca="1" ref="J25" ca="1">_xludf.XLOOKUP(G25,Label!$A$2:$A$309, Label!$C$2:$C$309)</f>
        <v>#NAME?</v>
      </c>
    </row>
    <row r="26" spans="1:10" ht="15.75" customHeight="1">
      <c r="A26" s="4" t="s">
        <v>404</v>
      </c>
      <c r="B26" s="2" t="str">
        <f t="shared" si="0"/>
        <v>OK</v>
      </c>
      <c r="C26" s="5" t="s">
        <v>41</v>
      </c>
      <c r="E26" s="2" t="str">
        <f t="shared" si="1"/>
        <v>OK</v>
      </c>
      <c r="G26" s="5" t="s">
        <v>41</v>
      </c>
      <c r="H26" s="2" t="str">
        <f t="shared" si="2"/>
        <v>OK</v>
      </c>
      <c r="I26" s="2" t="e">
        <f t="array" aca="1" ref="I26" ca="1">_xludf.XLOOKUP(G26,Label!$A$2:$A$309, Label!$B$2:$B$309)</f>
        <v>#NAME?</v>
      </c>
      <c r="J26" s="2" t="e">
        <f t="array" aca="1" ref="J26" ca="1">_xludf.XLOOKUP(G26,Label!$A$2:$A$309, Label!$C$2:$C$309)</f>
        <v>#NAME?</v>
      </c>
    </row>
    <row r="27" spans="1:10" ht="15.75" customHeight="1">
      <c r="A27" s="4" t="s">
        <v>405</v>
      </c>
      <c r="B27" s="2" t="str">
        <f t="shared" si="0"/>
        <v>OK</v>
      </c>
      <c r="C27" s="5" t="s">
        <v>42</v>
      </c>
      <c r="E27" s="2" t="str">
        <f t="shared" si="1"/>
        <v>OK</v>
      </c>
      <c r="G27" s="5" t="s">
        <v>42</v>
      </c>
      <c r="H27" s="2" t="str">
        <f t="shared" si="2"/>
        <v>OK</v>
      </c>
      <c r="I27" s="2" t="e">
        <f t="array" aca="1" ref="I27" ca="1">_xludf.XLOOKUP(G27,Label!$A$2:$A$309, Label!$B$2:$B$309)</f>
        <v>#NAME?</v>
      </c>
      <c r="J27" s="2" t="e">
        <f t="array" aca="1" ref="J27" ca="1">_xludf.XLOOKUP(G27,Label!$A$2:$A$309, Label!$C$2:$C$309)</f>
        <v>#NAME?</v>
      </c>
    </row>
    <row r="28" spans="1:10" ht="15.75" customHeight="1">
      <c r="A28" s="4" t="s">
        <v>2</v>
      </c>
      <c r="B28" s="2" t="str">
        <f t="shared" si="0"/>
        <v>OK</v>
      </c>
      <c r="C28" s="5" t="s">
        <v>44</v>
      </c>
      <c r="E28" s="2" t="str">
        <f t="shared" si="1"/>
        <v>OK</v>
      </c>
      <c r="G28" s="5" t="s">
        <v>44</v>
      </c>
      <c r="H28" s="2" t="str">
        <f t="shared" si="2"/>
        <v>OK</v>
      </c>
      <c r="I28" s="2" t="e">
        <f t="array" aca="1" ref="I28" ca="1">_xludf.XLOOKUP(G28,Label!$A$2:$A$309, Label!$B$2:$B$309)</f>
        <v>#NAME?</v>
      </c>
      <c r="J28" s="2" t="e">
        <f t="array" aca="1" ref="J28" ca="1">_xludf.XLOOKUP(G28,Label!$A$2:$A$309, Label!$C$2:$C$309)</f>
        <v>#NAME?</v>
      </c>
    </row>
    <row r="29" spans="1:10" ht="15.75" customHeight="1">
      <c r="A29" s="4" t="s">
        <v>4</v>
      </c>
      <c r="B29" s="2" t="str">
        <f t="shared" si="0"/>
        <v>OK</v>
      </c>
      <c r="C29" s="5" t="s">
        <v>46</v>
      </c>
      <c r="E29" s="2" t="str">
        <f t="shared" si="1"/>
        <v>OK</v>
      </c>
      <c r="G29" s="5" t="s">
        <v>46</v>
      </c>
      <c r="H29" s="2" t="str">
        <f t="shared" si="2"/>
        <v>OK</v>
      </c>
      <c r="I29" s="2" t="e">
        <f t="array" aca="1" ref="I29" ca="1">_xludf.XLOOKUP(G29,Label!$A$2:$A$309, Label!$B$2:$B$309)</f>
        <v>#NAME?</v>
      </c>
      <c r="J29" s="2" t="e">
        <f t="array" aca="1" ref="J29" ca="1">_xludf.XLOOKUP(G29,Label!$A$2:$A$309, Label!$C$2:$C$309)</f>
        <v>#NAME?</v>
      </c>
    </row>
    <row r="30" spans="1:10" ht="15.75" customHeight="1">
      <c r="A30" s="4" t="s">
        <v>6</v>
      </c>
      <c r="B30" s="2" t="str">
        <f t="shared" si="0"/>
        <v>OK</v>
      </c>
      <c r="C30" s="5" t="s">
        <v>47</v>
      </c>
      <c r="E30" s="2" t="str">
        <f t="shared" si="1"/>
        <v>OK</v>
      </c>
      <c r="G30" s="5" t="s">
        <v>47</v>
      </c>
      <c r="H30" s="2" t="str">
        <f t="shared" si="2"/>
        <v>OK</v>
      </c>
      <c r="I30" s="2" t="e">
        <f t="array" aca="1" ref="I30" ca="1">_xludf.XLOOKUP(G30,Label!$A$2:$A$309, Label!$B$2:$B$309)</f>
        <v>#NAME?</v>
      </c>
      <c r="J30" s="2" t="e">
        <f t="array" aca="1" ref="J30" ca="1">_xludf.XLOOKUP(G30,Label!$A$2:$A$309, Label!$C$2:$C$309)</f>
        <v>#NAME?</v>
      </c>
    </row>
    <row r="31" spans="1:10" ht="15.75" customHeight="1">
      <c r="A31" s="4" t="s">
        <v>8</v>
      </c>
      <c r="B31" s="2" t="str">
        <f t="shared" si="0"/>
        <v>OK</v>
      </c>
      <c r="C31" s="5" t="s">
        <v>48</v>
      </c>
      <c r="E31" s="2" t="str">
        <f t="shared" si="1"/>
        <v>OK</v>
      </c>
      <c r="G31" s="5" t="s">
        <v>48</v>
      </c>
      <c r="H31" s="2" t="str">
        <f t="shared" si="2"/>
        <v>OK</v>
      </c>
      <c r="I31" s="2" t="e">
        <f t="array" aca="1" ref="I31" ca="1">_xludf.XLOOKUP(G31,Label!$A$2:$A$309, Label!$B$2:$B$309)</f>
        <v>#NAME?</v>
      </c>
      <c r="J31" s="2" t="e">
        <f t="array" aca="1" ref="J31" ca="1">_xludf.XLOOKUP(G31,Label!$A$2:$A$309, Label!$C$2:$C$309)</f>
        <v>#NAME?</v>
      </c>
    </row>
    <row r="32" spans="1:10" ht="15.75" customHeight="1">
      <c r="A32" s="4" t="s">
        <v>10</v>
      </c>
      <c r="B32" s="2" t="str">
        <f t="shared" si="0"/>
        <v>OK</v>
      </c>
      <c r="C32" s="5" t="s">
        <v>49</v>
      </c>
      <c r="E32" s="2" t="str">
        <f t="shared" si="1"/>
        <v>OK</v>
      </c>
      <c r="G32" s="5" t="s">
        <v>49</v>
      </c>
      <c r="H32" s="2" t="str">
        <f t="shared" si="2"/>
        <v>OK</v>
      </c>
      <c r="I32" s="2" t="e">
        <f t="array" aca="1" ref="I32" ca="1">_xludf.XLOOKUP(G32,Label!$A$2:$A$309, Label!$B$2:$B$309)</f>
        <v>#NAME?</v>
      </c>
      <c r="J32" s="2" t="e">
        <f t="array" aca="1" ref="J32" ca="1">_xludf.XLOOKUP(G32,Label!$A$2:$A$309, Label!$C$2:$C$309)</f>
        <v>#NAME?</v>
      </c>
    </row>
    <row r="33" spans="1:10" ht="15.75" customHeight="1">
      <c r="A33" s="4" t="s">
        <v>12</v>
      </c>
      <c r="B33" s="2" t="str">
        <f t="shared" si="0"/>
        <v>OK</v>
      </c>
      <c r="C33" s="5" t="s">
        <v>50</v>
      </c>
      <c r="E33" s="2" t="str">
        <f t="shared" si="1"/>
        <v>OK</v>
      </c>
      <c r="G33" s="5" t="s">
        <v>50</v>
      </c>
      <c r="H33" s="2" t="str">
        <f t="shared" si="2"/>
        <v>OK</v>
      </c>
      <c r="I33" s="2" t="e">
        <f t="array" aca="1" ref="I33" ca="1">_xludf.XLOOKUP(G33,Label!$A$2:$A$309, Label!$B$2:$B$309)</f>
        <v>#NAME?</v>
      </c>
      <c r="J33" s="2" t="e">
        <f t="array" aca="1" ref="J33" ca="1">_xludf.XLOOKUP(G33,Label!$A$2:$A$309, Label!$C$2:$C$309)</f>
        <v>#NAME?</v>
      </c>
    </row>
    <row r="34" spans="1:10" ht="15.75" customHeight="1">
      <c r="A34" s="4" t="s">
        <v>13</v>
      </c>
      <c r="B34" s="2" t="str">
        <f t="shared" si="0"/>
        <v>OK</v>
      </c>
      <c r="C34" s="5" t="s">
        <v>52</v>
      </c>
      <c r="E34" s="2" t="str">
        <f t="shared" si="1"/>
        <v>OK</v>
      </c>
      <c r="G34" s="5" t="s">
        <v>52</v>
      </c>
      <c r="H34" s="2" t="str">
        <f t="shared" si="2"/>
        <v>OK</v>
      </c>
      <c r="I34" s="2" t="e">
        <f t="array" aca="1" ref="I34" ca="1">_xludf.XLOOKUP(G34,Label!$A$2:$A$309, Label!$B$2:$B$309)</f>
        <v>#NAME?</v>
      </c>
      <c r="J34" s="2" t="e">
        <f t="array" aca="1" ref="J34" ca="1">_xludf.XLOOKUP(G34,Label!$A$2:$A$309, Label!$C$2:$C$309)</f>
        <v>#NAME?</v>
      </c>
    </row>
    <row r="35" spans="1:10" ht="15.75" customHeight="1">
      <c r="A35" s="4" t="s">
        <v>15</v>
      </c>
      <c r="B35" s="2" t="str">
        <f t="shared" si="0"/>
        <v>OK</v>
      </c>
      <c r="C35" s="5" t="s">
        <v>54</v>
      </c>
      <c r="E35" s="2" t="str">
        <f t="shared" si="1"/>
        <v>OK</v>
      </c>
      <c r="G35" s="5" t="s">
        <v>54</v>
      </c>
      <c r="H35" s="2" t="str">
        <f t="shared" si="2"/>
        <v>OK</v>
      </c>
      <c r="I35" s="2" t="e">
        <f t="array" aca="1" ref="I35" ca="1">_xludf.XLOOKUP(G35,Label!$A$2:$A$309, Label!$B$2:$B$309)</f>
        <v>#NAME?</v>
      </c>
      <c r="J35" s="2" t="e">
        <f t="array" aca="1" ref="J35" ca="1">_xludf.XLOOKUP(G35,Label!$A$2:$A$309, Label!$C$2:$C$309)</f>
        <v>#NAME?</v>
      </c>
    </row>
    <row r="36" spans="1:10" ht="15.75" customHeight="1">
      <c r="A36" s="4" t="s">
        <v>16</v>
      </c>
      <c r="B36" s="2" t="str">
        <f t="shared" si="0"/>
        <v>OK</v>
      </c>
      <c r="C36" s="5" t="s">
        <v>55</v>
      </c>
      <c r="E36" s="2" t="str">
        <f t="shared" si="1"/>
        <v>OK</v>
      </c>
      <c r="G36" s="5" t="s">
        <v>55</v>
      </c>
      <c r="H36" s="2" t="str">
        <f t="shared" si="2"/>
        <v>OK</v>
      </c>
      <c r="I36" s="2" t="e">
        <f t="array" aca="1" ref="I36" ca="1">_xludf.XLOOKUP(G36,Label!$A$2:$A$309, Label!$B$2:$B$309)</f>
        <v>#NAME?</v>
      </c>
      <c r="J36" s="2" t="e">
        <f t="array" aca="1" ref="J36" ca="1">_xludf.XLOOKUP(G36,Label!$A$2:$A$309, Label!$C$2:$C$309)</f>
        <v>#NAME?</v>
      </c>
    </row>
    <row r="37" spans="1:10" ht="15.75" customHeight="1">
      <c r="A37" s="4" t="s">
        <v>17</v>
      </c>
      <c r="B37" s="2" t="str">
        <f t="shared" si="0"/>
        <v>OK</v>
      </c>
      <c r="C37" s="5" t="s">
        <v>56</v>
      </c>
      <c r="E37" s="2" t="str">
        <f t="shared" si="1"/>
        <v>OK</v>
      </c>
      <c r="G37" s="5" t="s">
        <v>56</v>
      </c>
      <c r="H37" s="2" t="str">
        <f t="shared" si="2"/>
        <v>OK</v>
      </c>
      <c r="I37" s="2" t="e">
        <f t="array" aca="1" ref="I37" ca="1">_xludf.XLOOKUP(G37,Label!$A$2:$A$309, Label!$B$2:$B$309)</f>
        <v>#NAME?</v>
      </c>
      <c r="J37" s="2" t="e">
        <f t="array" aca="1" ref="J37" ca="1">_xludf.XLOOKUP(G37,Label!$A$2:$A$309, Label!$C$2:$C$309)</f>
        <v>#NAME?</v>
      </c>
    </row>
    <row r="38" spans="1:10" ht="15.75" customHeight="1">
      <c r="A38" s="4" t="s">
        <v>19</v>
      </c>
      <c r="B38" s="2" t="str">
        <f t="shared" si="0"/>
        <v>OK</v>
      </c>
      <c r="C38" s="5" t="s">
        <v>57</v>
      </c>
      <c r="E38" s="2" t="str">
        <f t="shared" si="1"/>
        <v>OK</v>
      </c>
      <c r="G38" s="5" t="s">
        <v>57</v>
      </c>
      <c r="H38" s="2" t="str">
        <f t="shared" si="2"/>
        <v>OK</v>
      </c>
      <c r="I38" s="2" t="e">
        <f t="array" aca="1" ref="I38" ca="1">_xludf.XLOOKUP(G38,Label!$A$2:$A$309, Label!$B$2:$B$309)</f>
        <v>#NAME?</v>
      </c>
      <c r="J38" s="2" t="e">
        <f t="array" aca="1" ref="J38" ca="1">_xludf.XLOOKUP(G38,Label!$A$2:$A$309, Label!$C$2:$C$309)</f>
        <v>#NAME?</v>
      </c>
    </row>
    <row r="39" spans="1:10" ht="15.75" customHeight="1">
      <c r="A39" s="4" t="s">
        <v>21</v>
      </c>
      <c r="B39" s="2" t="str">
        <f t="shared" si="0"/>
        <v>OK</v>
      </c>
      <c r="C39" s="5" t="s">
        <v>58</v>
      </c>
      <c r="E39" s="2" t="str">
        <f t="shared" si="1"/>
        <v>OK</v>
      </c>
      <c r="G39" s="5" t="s">
        <v>58</v>
      </c>
      <c r="H39" s="2" t="str">
        <f t="shared" si="2"/>
        <v>OK</v>
      </c>
      <c r="I39" s="2" t="e">
        <f t="array" aca="1" ref="I39" ca="1">_xludf.XLOOKUP(G39,Label!$A$2:$A$309, Label!$B$2:$B$309)</f>
        <v>#NAME?</v>
      </c>
      <c r="J39" s="2" t="e">
        <f t="array" aca="1" ref="J39" ca="1">_xludf.XLOOKUP(G39,Label!$A$2:$A$309, Label!$C$2:$C$309)</f>
        <v>#NAME?</v>
      </c>
    </row>
    <row r="40" spans="1:10" ht="15.75" customHeight="1">
      <c r="A40" s="4" t="s">
        <v>24</v>
      </c>
      <c r="B40" s="2" t="str">
        <f t="shared" si="0"/>
        <v>OK</v>
      </c>
      <c r="C40" s="5" t="s">
        <v>59</v>
      </c>
      <c r="E40" s="2" t="str">
        <f t="shared" si="1"/>
        <v>OK</v>
      </c>
      <c r="G40" s="5" t="s">
        <v>59</v>
      </c>
      <c r="H40" s="2" t="str">
        <f t="shared" si="2"/>
        <v>OK</v>
      </c>
      <c r="I40" s="2" t="e">
        <f t="array" aca="1" ref="I40" ca="1">_xludf.XLOOKUP(G40,Label!$A$2:$A$309, Label!$B$2:$B$309)</f>
        <v>#NAME?</v>
      </c>
      <c r="J40" s="2" t="e">
        <f t="array" aca="1" ref="J40" ca="1">_xludf.XLOOKUP(G40,Label!$A$2:$A$309, Label!$C$2:$C$309)</f>
        <v>#NAME?</v>
      </c>
    </row>
    <row r="41" spans="1:10" ht="15.75" customHeight="1">
      <c r="A41" s="4" t="s">
        <v>25</v>
      </c>
      <c r="B41" s="2" t="str">
        <f t="shared" si="0"/>
        <v>OK</v>
      </c>
      <c r="C41" s="5" t="s">
        <v>60</v>
      </c>
      <c r="E41" s="2" t="str">
        <f t="shared" si="1"/>
        <v>OK</v>
      </c>
      <c r="G41" s="5" t="s">
        <v>60</v>
      </c>
      <c r="H41" s="2" t="str">
        <f t="shared" si="2"/>
        <v>OK</v>
      </c>
      <c r="I41" s="2" t="e">
        <f t="array" aca="1" ref="I41" ca="1">_xludf.XLOOKUP(G41,Label!$A$2:$A$309, Label!$B$2:$B$309)</f>
        <v>#NAME?</v>
      </c>
      <c r="J41" s="2" t="e">
        <f t="array" aca="1" ref="J41" ca="1">_xludf.XLOOKUP(G41,Label!$A$2:$A$309, Label!$C$2:$C$309)</f>
        <v>#NAME?</v>
      </c>
    </row>
    <row r="42" spans="1:10" ht="15.75" customHeight="1">
      <c r="A42" s="4" t="s">
        <v>28</v>
      </c>
      <c r="B42" s="2" t="str">
        <f t="shared" si="0"/>
        <v>OK</v>
      </c>
      <c r="C42" s="5" t="s">
        <v>61</v>
      </c>
      <c r="E42" s="2" t="str">
        <f t="shared" si="1"/>
        <v>OK</v>
      </c>
      <c r="G42" s="5" t="s">
        <v>61</v>
      </c>
      <c r="H42" s="2" t="str">
        <f t="shared" si="2"/>
        <v>OK</v>
      </c>
      <c r="I42" s="2" t="e">
        <f t="array" aca="1" ref="I42" ca="1">_xludf.XLOOKUP(G42,Label!$A$2:$A$309, Label!$B$2:$B$309)</f>
        <v>#NAME?</v>
      </c>
      <c r="J42" s="2" t="e">
        <f t="array" aca="1" ref="J42" ca="1">_xludf.XLOOKUP(G42,Label!$A$2:$A$309, Label!$C$2:$C$309)</f>
        <v>#NAME?</v>
      </c>
    </row>
    <row r="43" spans="1:10" ht="15.75" customHeight="1">
      <c r="A43" s="4" t="s">
        <v>29</v>
      </c>
      <c r="B43" s="2" t="str">
        <f t="shared" si="0"/>
        <v>OK</v>
      </c>
      <c r="C43" s="5" t="s">
        <v>62</v>
      </c>
      <c r="E43" s="2" t="str">
        <f t="shared" si="1"/>
        <v>OK</v>
      </c>
      <c r="G43" s="5" t="s">
        <v>62</v>
      </c>
      <c r="H43" s="2" t="str">
        <f t="shared" si="2"/>
        <v>OK</v>
      </c>
      <c r="I43" s="2" t="e">
        <f t="array" aca="1" ref="I43" ca="1">_xludf.XLOOKUP(G43,Label!$A$2:$A$309, Label!$B$2:$B$309)</f>
        <v>#NAME?</v>
      </c>
      <c r="J43" s="2" t="e">
        <f t="array" aca="1" ref="J43" ca="1">_xludf.XLOOKUP(G43,Label!$A$2:$A$309, Label!$C$2:$C$309)</f>
        <v>#NAME?</v>
      </c>
    </row>
    <row r="44" spans="1:10" ht="15.75" customHeight="1">
      <c r="A44" s="4" t="s">
        <v>30</v>
      </c>
      <c r="B44" s="2" t="str">
        <f t="shared" si="0"/>
        <v>OK</v>
      </c>
      <c r="C44" s="5" t="s">
        <v>64</v>
      </c>
      <c r="E44" s="2" t="str">
        <f t="shared" si="1"/>
        <v>OK</v>
      </c>
      <c r="G44" s="5" t="s">
        <v>64</v>
      </c>
      <c r="H44" s="2" t="str">
        <f t="shared" si="2"/>
        <v>OK</v>
      </c>
      <c r="I44" s="2" t="e">
        <f t="array" aca="1" ref="I44" ca="1">_xludf.XLOOKUP(G44,Label!$A$2:$A$309, Label!$B$2:$B$309)</f>
        <v>#NAME?</v>
      </c>
      <c r="J44" s="2" t="e">
        <f t="array" aca="1" ref="J44" ca="1">_xludf.XLOOKUP(G44,Label!$A$2:$A$309, Label!$C$2:$C$309)</f>
        <v>#NAME?</v>
      </c>
    </row>
    <row r="45" spans="1:10" ht="15.75" customHeight="1">
      <c r="A45" s="4" t="s">
        <v>32</v>
      </c>
      <c r="B45" s="2" t="str">
        <f t="shared" si="0"/>
        <v>OK</v>
      </c>
      <c r="C45" s="5" t="s">
        <v>65</v>
      </c>
      <c r="E45" s="2" t="str">
        <f t="shared" si="1"/>
        <v>OK</v>
      </c>
      <c r="G45" s="5" t="s">
        <v>65</v>
      </c>
      <c r="H45" s="2" t="str">
        <f t="shared" si="2"/>
        <v>OK</v>
      </c>
      <c r="I45" s="2" t="e">
        <f t="array" aca="1" ref="I45" ca="1">_xludf.XLOOKUP(G45,Label!$A$2:$A$309, Label!$B$2:$B$309)</f>
        <v>#NAME?</v>
      </c>
      <c r="J45" s="2" t="e">
        <f t="array" aca="1" ref="J45" ca="1">_xludf.XLOOKUP(G45,Label!$A$2:$A$309, Label!$C$2:$C$309)</f>
        <v>#NAME?</v>
      </c>
    </row>
    <row r="46" spans="1:10" ht="15.75" customHeight="1">
      <c r="A46" s="4" t="s">
        <v>33</v>
      </c>
      <c r="B46" s="2" t="str">
        <f t="shared" si="0"/>
        <v>OK</v>
      </c>
      <c r="C46" s="5" t="s">
        <v>66</v>
      </c>
      <c r="E46" s="2" t="str">
        <f t="shared" si="1"/>
        <v>OK</v>
      </c>
      <c r="G46" s="5" t="s">
        <v>66</v>
      </c>
      <c r="H46" s="2" t="str">
        <f t="shared" si="2"/>
        <v>OK</v>
      </c>
      <c r="I46" s="2" t="e">
        <f t="array" aca="1" ref="I46" ca="1">_xludf.XLOOKUP(G46,Label!$A$2:$A$309, Label!$B$2:$B$309)</f>
        <v>#NAME?</v>
      </c>
      <c r="J46" s="2" t="e">
        <f t="array" aca="1" ref="J46" ca="1">_xludf.XLOOKUP(G46,Label!$A$2:$A$309, Label!$C$2:$C$309)</f>
        <v>#NAME?</v>
      </c>
    </row>
    <row r="47" spans="1:10" ht="15.75" customHeight="1">
      <c r="A47" s="4" t="s">
        <v>35</v>
      </c>
      <c r="B47" s="2" t="str">
        <f t="shared" si="0"/>
        <v>OK</v>
      </c>
      <c r="C47" s="5" t="s">
        <v>67</v>
      </c>
      <c r="E47" s="2" t="str">
        <f t="shared" si="1"/>
        <v>OK</v>
      </c>
      <c r="G47" s="5" t="s">
        <v>67</v>
      </c>
      <c r="H47" s="2" t="str">
        <f t="shared" si="2"/>
        <v>OK</v>
      </c>
      <c r="I47" s="2" t="e">
        <f t="array" aca="1" ref="I47" ca="1">_xludf.XLOOKUP(G47,Label!$A$2:$A$309, Label!$B$2:$B$309)</f>
        <v>#NAME?</v>
      </c>
      <c r="J47" s="2" t="e">
        <f t="array" aca="1" ref="J47" ca="1">_xludf.XLOOKUP(G47,Label!$A$2:$A$309, Label!$C$2:$C$309)</f>
        <v>#NAME?</v>
      </c>
    </row>
    <row r="48" spans="1:10" ht="15.75" customHeight="1">
      <c r="A48" s="4" t="s">
        <v>36</v>
      </c>
      <c r="B48" s="2" t="str">
        <f t="shared" si="0"/>
        <v>OK</v>
      </c>
      <c r="C48" s="5" t="s">
        <v>68</v>
      </c>
      <c r="E48" s="2" t="str">
        <f t="shared" si="1"/>
        <v>OK</v>
      </c>
      <c r="G48" s="5" t="s">
        <v>68</v>
      </c>
      <c r="H48" s="2" t="str">
        <f t="shared" si="2"/>
        <v>OK</v>
      </c>
      <c r="I48" s="2" t="e">
        <f t="array" aca="1" ref="I48" ca="1">_xludf.XLOOKUP(G48,Label!$A$2:$A$309, Label!$B$2:$B$309)</f>
        <v>#NAME?</v>
      </c>
      <c r="J48" s="2" t="e">
        <f t="array" aca="1" ref="J48" ca="1">_xludf.XLOOKUP(G48,Label!$A$2:$A$309, Label!$C$2:$C$309)</f>
        <v>#NAME?</v>
      </c>
    </row>
    <row r="49" spans="1:10" ht="15.75" customHeight="1">
      <c r="A49" s="4" t="s">
        <v>37</v>
      </c>
      <c r="B49" s="2" t="str">
        <f t="shared" si="0"/>
        <v>OK</v>
      </c>
      <c r="C49" s="5" t="s">
        <v>69</v>
      </c>
      <c r="E49" s="2" t="str">
        <f t="shared" si="1"/>
        <v>OK</v>
      </c>
      <c r="G49" s="3" t="s">
        <v>69</v>
      </c>
      <c r="H49" s="2" t="str">
        <f t="shared" si="2"/>
        <v>OK</v>
      </c>
      <c r="I49" s="2" t="e">
        <f t="array" aca="1" ref="I49" ca="1">_xludf.XLOOKUP(G49,Label!$A$2:$A$309, Label!$B$2:$B$309)</f>
        <v>#NAME?</v>
      </c>
      <c r="J49" s="2" t="e">
        <f t="array" aca="1" ref="J49" ca="1">_xludf.XLOOKUP(G49,Label!$A$2:$A$309, Label!$C$2:$C$309)</f>
        <v>#NAME?</v>
      </c>
    </row>
    <row r="50" spans="1:10" ht="15.75" customHeight="1">
      <c r="A50" s="4" t="s">
        <v>38</v>
      </c>
      <c r="B50" s="2" t="str">
        <f t="shared" si="0"/>
        <v>OK</v>
      </c>
      <c r="C50" s="5" t="s">
        <v>71</v>
      </c>
      <c r="E50" s="2" t="str">
        <f t="shared" si="1"/>
        <v>OK</v>
      </c>
      <c r="G50" s="5" t="s">
        <v>71</v>
      </c>
      <c r="H50" s="2" t="str">
        <f t="shared" si="2"/>
        <v>OK</v>
      </c>
      <c r="I50" s="2" t="e">
        <f t="array" aca="1" ref="I50" ca="1">_xludf.XLOOKUP(G50,Label!$A$2:$A$309, Label!$B$2:$B$309)</f>
        <v>#NAME?</v>
      </c>
      <c r="J50" s="2" t="e">
        <f t="array" aca="1" ref="J50" ca="1">_xludf.XLOOKUP(G50,Label!$A$2:$A$309, Label!$C$2:$C$309)</f>
        <v>#NAME?</v>
      </c>
    </row>
    <row r="51" spans="1:10" ht="15.75" customHeight="1">
      <c r="A51" s="4" t="s">
        <v>39</v>
      </c>
      <c r="B51" s="2" t="str">
        <f t="shared" si="0"/>
        <v>OK</v>
      </c>
      <c r="C51" s="5" t="s">
        <v>72</v>
      </c>
      <c r="E51" s="2" t="str">
        <f t="shared" si="1"/>
        <v>OK</v>
      </c>
      <c r="G51" s="5" t="s">
        <v>72</v>
      </c>
      <c r="H51" s="2" t="str">
        <f t="shared" si="2"/>
        <v>OK</v>
      </c>
      <c r="I51" s="2" t="e">
        <f t="array" aca="1" ref="I51" ca="1">_xludf.XLOOKUP(G51,Label!$A$2:$A$309, Label!$B$2:$B$309)</f>
        <v>#NAME?</v>
      </c>
      <c r="J51" s="2" t="e">
        <f t="array" aca="1" ref="J51" ca="1">_xludf.XLOOKUP(G51,Label!$A$2:$A$309, Label!$C$2:$C$309)</f>
        <v>#NAME?</v>
      </c>
    </row>
    <row r="52" spans="1:10" ht="15.75" customHeight="1">
      <c r="A52" s="4" t="s">
        <v>40</v>
      </c>
      <c r="B52" s="2" t="str">
        <f t="shared" si="0"/>
        <v>OK</v>
      </c>
      <c r="C52" s="5" t="s">
        <v>73</v>
      </c>
      <c r="E52" s="2" t="str">
        <f t="shared" si="1"/>
        <v>OK</v>
      </c>
      <c r="G52" s="5" t="s">
        <v>73</v>
      </c>
      <c r="H52" s="2" t="str">
        <f t="shared" si="2"/>
        <v>OK</v>
      </c>
      <c r="I52" s="2" t="e">
        <f t="array" aca="1" ref="I52" ca="1">_xludf.XLOOKUP(G52,Label!$A$2:$A$309, Label!$B$2:$B$309)</f>
        <v>#NAME?</v>
      </c>
      <c r="J52" s="2" t="e">
        <f t="array" aca="1" ref="J52" ca="1">_xludf.XLOOKUP(G52,Label!$A$2:$A$309, Label!$C$2:$C$309)</f>
        <v>#NAME?</v>
      </c>
    </row>
    <row r="53" spans="1:10" ht="15.75" customHeight="1">
      <c r="A53" s="4" t="s">
        <v>41</v>
      </c>
      <c r="B53" s="2" t="str">
        <f t="shared" si="0"/>
        <v>OK</v>
      </c>
      <c r="C53" s="5" t="s">
        <v>74</v>
      </c>
      <c r="E53" s="2" t="str">
        <f t="shared" si="1"/>
        <v>OK</v>
      </c>
      <c r="G53" s="5" t="s">
        <v>74</v>
      </c>
      <c r="H53" s="2" t="str">
        <f t="shared" si="2"/>
        <v>OK</v>
      </c>
      <c r="I53" s="2" t="e">
        <f t="array" aca="1" ref="I53" ca="1">_xludf.XLOOKUP(G53,Label!$A$2:$A$309, Label!$B$2:$B$309)</f>
        <v>#NAME?</v>
      </c>
      <c r="J53" s="2" t="e">
        <f t="array" aca="1" ref="J53" ca="1">_xludf.XLOOKUP(G53,Label!$A$2:$A$309, Label!$C$2:$C$309)</f>
        <v>#NAME?</v>
      </c>
    </row>
    <row r="54" spans="1:10" ht="15.75" customHeight="1">
      <c r="A54" s="4" t="s">
        <v>42</v>
      </c>
      <c r="B54" s="2" t="str">
        <f t="shared" si="0"/>
        <v>OK</v>
      </c>
      <c r="C54" s="5" t="s">
        <v>76</v>
      </c>
      <c r="E54" s="2" t="str">
        <f t="shared" si="1"/>
        <v>OK</v>
      </c>
      <c r="G54" s="5" t="s">
        <v>76</v>
      </c>
      <c r="H54" s="2" t="str">
        <f t="shared" si="2"/>
        <v>OK</v>
      </c>
      <c r="I54" s="2" t="e">
        <f t="array" aca="1" ref="I54" ca="1">_xludf.XLOOKUP(G54,Label!$A$2:$A$309, Label!$B$2:$B$309)</f>
        <v>#NAME?</v>
      </c>
      <c r="J54" s="2" t="e">
        <f t="array" aca="1" ref="J54" ca="1">_xludf.XLOOKUP(G54,Label!$A$2:$A$309, Label!$C$2:$C$309)</f>
        <v>#NAME?</v>
      </c>
    </row>
    <row r="55" spans="1:10" ht="15.75" customHeight="1">
      <c r="A55" s="4" t="s">
        <v>44</v>
      </c>
      <c r="B55" s="2" t="str">
        <f t="shared" si="0"/>
        <v>OK</v>
      </c>
      <c r="C55" s="5" t="s">
        <v>77</v>
      </c>
      <c r="E55" s="2" t="str">
        <f t="shared" si="1"/>
        <v>OK</v>
      </c>
      <c r="G55" s="5" t="s">
        <v>77</v>
      </c>
      <c r="H55" s="2" t="str">
        <f t="shared" si="2"/>
        <v>OK</v>
      </c>
      <c r="I55" s="2" t="e">
        <f t="array" aca="1" ref="I55" ca="1">_xludf.XLOOKUP(G55,Label!$A$2:$A$309, Label!$B$2:$B$309)</f>
        <v>#NAME?</v>
      </c>
      <c r="J55" s="2" t="e">
        <f t="array" aca="1" ref="J55" ca="1">_xludf.XLOOKUP(G55,Label!$A$2:$A$309, Label!$C$2:$C$309)</f>
        <v>#NAME?</v>
      </c>
    </row>
    <row r="56" spans="1:10" ht="15.75" customHeight="1">
      <c r="A56" s="4" t="s">
        <v>46</v>
      </c>
      <c r="B56" s="2" t="str">
        <f t="shared" si="0"/>
        <v>OK</v>
      </c>
      <c r="C56" s="5" t="s">
        <v>78</v>
      </c>
      <c r="E56" s="2" t="str">
        <f t="shared" si="1"/>
        <v>OK</v>
      </c>
      <c r="G56" s="5" t="s">
        <v>78</v>
      </c>
      <c r="H56" s="2" t="str">
        <f t="shared" si="2"/>
        <v>OK</v>
      </c>
      <c r="I56" s="2" t="e">
        <f t="array" aca="1" ref="I56" ca="1">_xludf.XLOOKUP(G56,Label!$A$2:$A$309, Label!$B$2:$B$309)</f>
        <v>#NAME?</v>
      </c>
      <c r="J56" s="2" t="e">
        <f t="array" aca="1" ref="J56" ca="1">_xludf.XLOOKUP(G56,Label!$A$2:$A$309, Label!$C$2:$C$309)</f>
        <v>#NAME?</v>
      </c>
    </row>
    <row r="57" spans="1:10" ht="15.75" customHeight="1">
      <c r="A57" s="4" t="s">
        <v>47</v>
      </c>
      <c r="B57" s="2" t="str">
        <f t="shared" si="0"/>
        <v>OK</v>
      </c>
      <c r="C57" s="5" t="s">
        <v>79</v>
      </c>
      <c r="E57" s="2" t="str">
        <f t="shared" si="1"/>
        <v>OK</v>
      </c>
      <c r="G57" s="5" t="s">
        <v>79</v>
      </c>
      <c r="H57" s="2" t="str">
        <f t="shared" si="2"/>
        <v>OK</v>
      </c>
      <c r="I57" s="2" t="e">
        <f t="array" aca="1" ref="I57" ca="1">_xludf.XLOOKUP(G57,Label!$A$2:$A$309, Label!$B$2:$B$309)</f>
        <v>#NAME?</v>
      </c>
      <c r="J57" s="2" t="e">
        <f t="array" aca="1" ref="J57" ca="1">_xludf.XLOOKUP(G57,Label!$A$2:$A$309, Label!$C$2:$C$309)</f>
        <v>#NAME?</v>
      </c>
    </row>
    <row r="58" spans="1:10" ht="13">
      <c r="A58" s="4" t="s">
        <v>48</v>
      </c>
      <c r="B58" s="2" t="str">
        <f t="shared" si="0"/>
        <v>OK</v>
      </c>
      <c r="C58" s="5" t="s">
        <v>80</v>
      </c>
      <c r="E58" s="2" t="str">
        <f t="shared" si="1"/>
        <v>OK</v>
      </c>
      <c r="G58" s="5" t="s">
        <v>80</v>
      </c>
      <c r="H58" s="2" t="str">
        <f t="shared" si="2"/>
        <v>OK</v>
      </c>
      <c r="I58" s="2" t="e">
        <f t="array" aca="1" ref="I58" ca="1">_xludf.XLOOKUP(G58,Label!$A$2:$A$309, Label!$B$2:$B$309)</f>
        <v>#NAME?</v>
      </c>
      <c r="J58" s="2" t="e">
        <f t="array" aca="1" ref="J58" ca="1">_xludf.XLOOKUP(G58,Label!$A$2:$A$309, Label!$C$2:$C$309)</f>
        <v>#NAME?</v>
      </c>
    </row>
    <row r="59" spans="1:10" ht="13">
      <c r="A59" s="4" t="s">
        <v>49</v>
      </c>
      <c r="B59" s="2" t="str">
        <f t="shared" si="0"/>
        <v>OK</v>
      </c>
      <c r="C59" s="5" t="s">
        <v>81</v>
      </c>
      <c r="E59" s="2" t="str">
        <f t="shared" si="1"/>
        <v>OK</v>
      </c>
      <c r="G59" s="5" t="s">
        <v>81</v>
      </c>
      <c r="H59" s="2" t="str">
        <f t="shared" si="2"/>
        <v>OK</v>
      </c>
      <c r="I59" s="2" t="e">
        <f t="array" aca="1" ref="I59" ca="1">_xludf.XLOOKUP(G59,Label!$A$2:$A$309, Label!$B$2:$B$309)</f>
        <v>#NAME?</v>
      </c>
      <c r="J59" s="2" t="e">
        <f t="array" aca="1" ref="J59" ca="1">_xludf.XLOOKUP(G59,Label!$A$2:$A$309, Label!$C$2:$C$309)</f>
        <v>#NAME?</v>
      </c>
    </row>
    <row r="60" spans="1:10" ht="13">
      <c r="A60" s="4" t="s">
        <v>50</v>
      </c>
      <c r="B60" s="2" t="str">
        <f t="shared" si="0"/>
        <v>OK</v>
      </c>
      <c r="C60" s="5" t="s">
        <v>82</v>
      </c>
      <c r="E60" s="2" t="str">
        <f t="shared" si="1"/>
        <v>OK</v>
      </c>
      <c r="G60" s="5" t="s">
        <v>82</v>
      </c>
      <c r="H60" s="2" t="str">
        <f t="shared" si="2"/>
        <v>OK</v>
      </c>
      <c r="I60" s="2" t="e">
        <f t="array" aca="1" ref="I60" ca="1">_xludf.XLOOKUP(G60,Label!$A$2:$A$309, Label!$B$2:$B$309)</f>
        <v>#NAME?</v>
      </c>
      <c r="J60" s="2" t="e">
        <f t="array" aca="1" ref="J60" ca="1">_xludf.XLOOKUP(G60,Label!$A$2:$A$309, Label!$C$2:$C$309)</f>
        <v>#NAME?</v>
      </c>
    </row>
    <row r="61" spans="1:10" ht="13">
      <c r="A61" s="4" t="s">
        <v>52</v>
      </c>
      <c r="B61" s="2" t="str">
        <f t="shared" si="0"/>
        <v>OK</v>
      </c>
      <c r="C61" s="5" t="s">
        <v>83</v>
      </c>
      <c r="E61" s="2" t="str">
        <f t="shared" si="1"/>
        <v>OK</v>
      </c>
      <c r="G61" s="5" t="s">
        <v>83</v>
      </c>
      <c r="H61" s="2" t="str">
        <f t="shared" si="2"/>
        <v>OK</v>
      </c>
      <c r="I61" s="2" t="e">
        <f t="array" aca="1" ref="I61" ca="1">_xludf.XLOOKUP(G61,Label!$A$2:$A$309, Label!$B$2:$B$309)</f>
        <v>#NAME?</v>
      </c>
      <c r="J61" s="2" t="e">
        <f t="array" aca="1" ref="J61" ca="1">_xludf.XLOOKUP(G61,Label!$A$2:$A$309, Label!$C$2:$C$309)</f>
        <v>#NAME?</v>
      </c>
    </row>
    <row r="62" spans="1:10" ht="13">
      <c r="A62" s="4" t="s">
        <v>54</v>
      </c>
      <c r="B62" s="2" t="str">
        <f t="shared" si="0"/>
        <v>OK</v>
      </c>
      <c r="C62" s="5" t="s">
        <v>84</v>
      </c>
      <c r="E62" s="2" t="str">
        <f t="shared" si="1"/>
        <v>OK</v>
      </c>
      <c r="G62" s="5" t="s">
        <v>84</v>
      </c>
      <c r="H62" s="2" t="str">
        <f t="shared" si="2"/>
        <v>OK</v>
      </c>
      <c r="I62" s="2" t="e">
        <f t="array" aca="1" ref="I62" ca="1">_xludf.XLOOKUP(G62,Label!$A$2:$A$309, Label!$B$2:$B$309)</f>
        <v>#NAME?</v>
      </c>
      <c r="J62" s="2" t="e">
        <f t="array" aca="1" ref="J62" ca="1">_xludf.XLOOKUP(G62,Label!$A$2:$A$309, Label!$C$2:$C$309)</f>
        <v>#NAME?</v>
      </c>
    </row>
    <row r="63" spans="1:10" ht="13">
      <c r="A63" s="4" t="s">
        <v>55</v>
      </c>
      <c r="B63" s="2" t="str">
        <f t="shared" si="0"/>
        <v>OK</v>
      </c>
      <c r="C63" s="5" t="s">
        <v>86</v>
      </c>
      <c r="E63" s="2" t="str">
        <f t="shared" si="1"/>
        <v>OK</v>
      </c>
      <c r="G63" s="5" t="s">
        <v>86</v>
      </c>
      <c r="H63" s="2" t="str">
        <f t="shared" si="2"/>
        <v>OK</v>
      </c>
      <c r="I63" s="2" t="e">
        <f t="array" aca="1" ref="I63" ca="1">_xludf.XLOOKUP(G63,Label!$A$2:$A$309, Label!$B$2:$B$309)</f>
        <v>#NAME?</v>
      </c>
      <c r="J63" s="2" t="e">
        <f t="array" aca="1" ref="J63" ca="1">_xludf.XLOOKUP(G63,Label!$A$2:$A$309, Label!$C$2:$C$309)</f>
        <v>#NAME?</v>
      </c>
    </row>
    <row r="64" spans="1:10" ht="13">
      <c r="A64" s="4" t="s">
        <v>56</v>
      </c>
      <c r="B64" s="2" t="str">
        <f t="shared" si="0"/>
        <v>OK</v>
      </c>
      <c r="C64" s="5" t="s">
        <v>87</v>
      </c>
      <c r="E64" s="2" t="str">
        <f t="shared" si="1"/>
        <v>OK</v>
      </c>
      <c r="G64" s="5" t="s">
        <v>87</v>
      </c>
      <c r="H64" s="2" t="str">
        <f t="shared" si="2"/>
        <v>OK</v>
      </c>
      <c r="I64" s="2" t="e">
        <f t="array" aca="1" ref="I64" ca="1">_xludf.XLOOKUP(G64,Label!$A$2:$A$309, Label!$B$2:$B$309)</f>
        <v>#NAME?</v>
      </c>
      <c r="J64" s="2" t="e">
        <f t="array" aca="1" ref="J64" ca="1">_xludf.XLOOKUP(G64,Label!$A$2:$A$309, Label!$C$2:$C$309)</f>
        <v>#NAME?</v>
      </c>
    </row>
    <row r="65" spans="1:10" ht="13">
      <c r="A65" s="4" t="s">
        <v>57</v>
      </c>
      <c r="B65" s="2" t="str">
        <f t="shared" si="0"/>
        <v>OK</v>
      </c>
      <c r="C65" s="5" t="s">
        <v>88</v>
      </c>
      <c r="E65" s="2" t="str">
        <f t="shared" si="1"/>
        <v>OK</v>
      </c>
      <c r="G65" s="5" t="s">
        <v>88</v>
      </c>
      <c r="H65" s="2" t="str">
        <f t="shared" si="2"/>
        <v>OK</v>
      </c>
      <c r="I65" s="2" t="e">
        <f t="array" aca="1" ref="I65" ca="1">_xludf.XLOOKUP(G65,Label!$A$2:$A$309, Label!$B$2:$B$309)</f>
        <v>#NAME?</v>
      </c>
      <c r="J65" s="2" t="e">
        <f t="array" aca="1" ref="J65" ca="1">_xludf.XLOOKUP(G65,Label!$A$2:$A$309, Label!$C$2:$C$309)</f>
        <v>#NAME?</v>
      </c>
    </row>
    <row r="66" spans="1:10" ht="13">
      <c r="A66" s="4" t="s">
        <v>58</v>
      </c>
      <c r="B66" s="2" t="str">
        <f t="shared" si="0"/>
        <v>OK</v>
      </c>
      <c r="C66" s="5" t="s">
        <v>89</v>
      </c>
      <c r="E66" s="2" t="str">
        <f t="shared" si="1"/>
        <v>OK</v>
      </c>
      <c r="G66" s="5" t="s">
        <v>89</v>
      </c>
      <c r="H66" s="2" t="str">
        <f t="shared" si="2"/>
        <v>OK</v>
      </c>
      <c r="I66" s="2" t="e">
        <f t="array" aca="1" ref="I66" ca="1">_xludf.XLOOKUP(G66,Label!$A$2:$A$309, Label!$B$2:$B$309)</f>
        <v>#NAME?</v>
      </c>
      <c r="J66" s="2" t="e">
        <f t="array" aca="1" ref="J66" ca="1">_xludf.XLOOKUP(G66,Label!$A$2:$A$309, Label!$C$2:$C$309)</f>
        <v>#NAME?</v>
      </c>
    </row>
    <row r="67" spans="1:10" ht="13">
      <c r="A67" s="4" t="s">
        <v>59</v>
      </c>
      <c r="B67" s="2" t="str">
        <f t="shared" si="0"/>
        <v>OK</v>
      </c>
      <c r="C67" s="5" t="s">
        <v>90</v>
      </c>
      <c r="E67" s="2" t="str">
        <f t="shared" si="1"/>
        <v>OK</v>
      </c>
      <c r="G67" s="5" t="s">
        <v>90</v>
      </c>
      <c r="H67" s="2" t="str">
        <f t="shared" si="2"/>
        <v>OK</v>
      </c>
      <c r="I67" s="2" t="e">
        <f t="array" aca="1" ref="I67" ca="1">_xludf.XLOOKUP(G67,Label!$A$2:$A$309, Label!$B$2:$B$309)</f>
        <v>#NAME?</v>
      </c>
      <c r="J67" s="2" t="e">
        <f t="array" aca="1" ref="J67" ca="1">_xludf.XLOOKUP(G67,Label!$A$2:$A$309, Label!$C$2:$C$309)</f>
        <v>#NAME?</v>
      </c>
    </row>
    <row r="68" spans="1:10" ht="13">
      <c r="A68" s="4" t="s">
        <v>60</v>
      </c>
      <c r="B68" s="2" t="str">
        <f t="shared" si="0"/>
        <v>OK</v>
      </c>
      <c r="C68" s="5" t="s">
        <v>92</v>
      </c>
      <c r="E68" s="2" t="str">
        <f t="shared" si="1"/>
        <v>OK</v>
      </c>
      <c r="G68" s="5" t="s">
        <v>92</v>
      </c>
      <c r="H68" s="2" t="str">
        <f t="shared" si="2"/>
        <v>OK</v>
      </c>
      <c r="I68" s="2" t="e">
        <f t="array" aca="1" ref="I68" ca="1">_xludf.XLOOKUP(G68,Label!$A$2:$A$309, Label!$B$2:$B$309)</f>
        <v>#NAME?</v>
      </c>
      <c r="J68" s="2" t="e">
        <f t="array" aca="1" ref="J68" ca="1">_xludf.XLOOKUP(G68,Label!$A$2:$A$309, Label!$C$2:$C$309)</f>
        <v>#NAME?</v>
      </c>
    </row>
    <row r="69" spans="1:10" ht="13">
      <c r="A69" s="4" t="s">
        <v>61</v>
      </c>
      <c r="B69" s="2" t="str">
        <f t="shared" si="0"/>
        <v>OK</v>
      </c>
      <c r="C69" s="5" t="s">
        <v>93</v>
      </c>
      <c r="E69" s="2" t="str">
        <f t="shared" si="1"/>
        <v>OK</v>
      </c>
      <c r="G69" s="5" t="s">
        <v>93</v>
      </c>
      <c r="H69" s="2" t="str">
        <f t="shared" si="2"/>
        <v>OK</v>
      </c>
      <c r="I69" s="2" t="e">
        <f t="array" aca="1" ref="I69" ca="1">_xludf.XLOOKUP(G69,Label!$A$2:$A$309, Label!$B$2:$B$309)</f>
        <v>#NAME?</v>
      </c>
      <c r="J69" s="2" t="e">
        <f t="array" aca="1" ref="J69" ca="1">_xludf.XLOOKUP(G69,Label!$A$2:$A$309, Label!$C$2:$C$309)</f>
        <v>#NAME?</v>
      </c>
    </row>
    <row r="70" spans="1:10" ht="13">
      <c r="A70" s="4" t="s">
        <v>62</v>
      </c>
      <c r="B70" s="2" t="str">
        <f t="shared" si="0"/>
        <v>OK</v>
      </c>
      <c r="C70" s="5" t="s">
        <v>95</v>
      </c>
      <c r="E70" s="2" t="str">
        <f t="shared" si="1"/>
        <v>OK</v>
      </c>
      <c r="G70" s="5" t="s">
        <v>95</v>
      </c>
      <c r="H70" s="2" t="str">
        <f t="shared" si="2"/>
        <v>OK</v>
      </c>
      <c r="I70" s="2" t="e">
        <f t="array" aca="1" ref="I70" ca="1">_xludf.XLOOKUP(G70,Label!$A$2:$A$309, Label!$B$2:$B$309)</f>
        <v>#NAME?</v>
      </c>
      <c r="J70" s="2" t="e">
        <f t="array" aca="1" ref="J70" ca="1">_xludf.XLOOKUP(G70,Label!$A$2:$A$309, Label!$C$2:$C$309)</f>
        <v>#NAME?</v>
      </c>
    </row>
    <row r="71" spans="1:10" ht="13">
      <c r="A71" s="4" t="s">
        <v>64</v>
      </c>
      <c r="B71" s="2" t="str">
        <f t="shared" si="0"/>
        <v>OK</v>
      </c>
      <c r="C71" s="5" t="s">
        <v>96</v>
      </c>
      <c r="E71" s="2" t="str">
        <f t="shared" si="1"/>
        <v>OK</v>
      </c>
      <c r="G71" s="5" t="s">
        <v>96</v>
      </c>
      <c r="H71" s="2" t="str">
        <f t="shared" si="2"/>
        <v>OK</v>
      </c>
      <c r="I71" s="2" t="e">
        <f t="array" aca="1" ref="I71" ca="1">_xludf.XLOOKUP(G71,Label!$A$2:$A$309, Label!$B$2:$B$309)</f>
        <v>#NAME?</v>
      </c>
      <c r="J71" s="2" t="e">
        <f t="array" aca="1" ref="J71" ca="1">_xludf.XLOOKUP(G71,Label!$A$2:$A$309, Label!$C$2:$C$309)</f>
        <v>#NAME?</v>
      </c>
    </row>
    <row r="72" spans="1:10" ht="13">
      <c r="A72" s="4" t="s">
        <v>65</v>
      </c>
      <c r="B72" s="2" t="str">
        <f t="shared" si="0"/>
        <v>OK</v>
      </c>
      <c r="C72" s="5" t="s">
        <v>98</v>
      </c>
      <c r="E72" s="2" t="str">
        <f t="shared" si="1"/>
        <v>OK</v>
      </c>
      <c r="G72" s="5" t="s">
        <v>98</v>
      </c>
      <c r="H72" s="2" t="str">
        <f t="shared" si="2"/>
        <v>OK</v>
      </c>
      <c r="I72" s="2" t="e">
        <f t="array" aca="1" ref="I72" ca="1">_xludf.XLOOKUP(G72,Label!$A$2:$A$309, Label!$B$2:$B$309)</f>
        <v>#NAME?</v>
      </c>
      <c r="J72" s="2" t="e">
        <f t="array" aca="1" ref="J72" ca="1">_xludf.XLOOKUP(G72,Label!$A$2:$A$309, Label!$C$2:$C$309)</f>
        <v>#NAME?</v>
      </c>
    </row>
    <row r="73" spans="1:10" ht="13">
      <c r="A73" s="4" t="s">
        <v>66</v>
      </c>
      <c r="B73" s="2" t="str">
        <f t="shared" si="0"/>
        <v>OK</v>
      </c>
      <c r="C73" s="5" t="s">
        <v>99</v>
      </c>
      <c r="E73" s="2" t="str">
        <f t="shared" si="1"/>
        <v>OK</v>
      </c>
      <c r="G73" s="5" t="s">
        <v>99</v>
      </c>
      <c r="H73" s="2" t="str">
        <f t="shared" si="2"/>
        <v>OK</v>
      </c>
      <c r="I73" s="2" t="e">
        <f t="array" aca="1" ref="I73" ca="1">_xludf.XLOOKUP(G73,Label!$A$2:$A$309, Label!$B$2:$B$309)</f>
        <v>#NAME?</v>
      </c>
      <c r="J73" s="2" t="e">
        <f t="array" aca="1" ref="J73" ca="1">_xludf.XLOOKUP(G73,Label!$A$2:$A$309, Label!$C$2:$C$309)</f>
        <v>#NAME?</v>
      </c>
    </row>
    <row r="74" spans="1:10" ht="13">
      <c r="A74" s="4" t="s">
        <v>67</v>
      </c>
      <c r="B74" s="2" t="str">
        <f t="shared" si="0"/>
        <v>OK</v>
      </c>
      <c r="C74" s="5" t="s">
        <v>100</v>
      </c>
      <c r="E74" s="2" t="str">
        <f t="shared" si="1"/>
        <v>OK</v>
      </c>
      <c r="G74" s="5" t="s">
        <v>100</v>
      </c>
      <c r="H74" s="2" t="str">
        <f t="shared" si="2"/>
        <v>OK</v>
      </c>
      <c r="I74" s="2" t="e">
        <f t="array" aca="1" ref="I74" ca="1">_xludf.XLOOKUP(G74,Label!$A$2:$A$309, Label!$B$2:$B$309)</f>
        <v>#NAME?</v>
      </c>
      <c r="J74" s="2" t="e">
        <f t="array" aca="1" ref="J74" ca="1">_xludf.XLOOKUP(G74,Label!$A$2:$A$309, Label!$C$2:$C$309)</f>
        <v>#NAME?</v>
      </c>
    </row>
    <row r="75" spans="1:10" ht="13">
      <c r="A75" s="4" t="s">
        <v>68</v>
      </c>
      <c r="B75" s="2" t="str">
        <f t="shared" si="0"/>
        <v>OK</v>
      </c>
      <c r="C75" s="5" t="s">
        <v>101</v>
      </c>
      <c r="E75" s="2" t="str">
        <f t="shared" si="1"/>
        <v>OK</v>
      </c>
      <c r="G75" s="5" t="s">
        <v>101</v>
      </c>
      <c r="H75" s="2" t="str">
        <f t="shared" si="2"/>
        <v>OK</v>
      </c>
      <c r="I75" s="2" t="e">
        <f t="array" aca="1" ref="I75" ca="1">_xludf.XLOOKUP(G75,Label!$A$2:$A$309, Label!$B$2:$B$309)</f>
        <v>#NAME?</v>
      </c>
      <c r="J75" s="2" t="e">
        <f t="array" aca="1" ref="J75" ca="1">_xludf.XLOOKUP(G75,Label!$A$2:$A$309, Label!$C$2:$C$309)</f>
        <v>#NAME?</v>
      </c>
    </row>
    <row r="76" spans="1:10" ht="13">
      <c r="A76" s="4" t="s">
        <v>69</v>
      </c>
      <c r="B76" s="2" t="str">
        <f t="shared" si="0"/>
        <v>OK</v>
      </c>
      <c r="C76" s="5" t="s">
        <v>102</v>
      </c>
      <c r="E76" s="2" t="str">
        <f t="shared" si="1"/>
        <v>OK</v>
      </c>
      <c r="G76" s="5" t="s">
        <v>102</v>
      </c>
      <c r="H76" s="2" t="str">
        <f t="shared" si="2"/>
        <v>OK</v>
      </c>
      <c r="I76" s="2" t="e">
        <f t="array" aca="1" ref="I76" ca="1">_xludf.XLOOKUP(G76,Label!$A$2:$A$309, Label!$B$2:$B$309)</f>
        <v>#NAME?</v>
      </c>
      <c r="J76" s="2" t="e">
        <f t="array" aca="1" ref="J76" ca="1">_xludf.XLOOKUP(G76,Label!$A$2:$A$309, Label!$C$2:$C$309)</f>
        <v>#NAME?</v>
      </c>
    </row>
    <row r="77" spans="1:10" ht="13">
      <c r="A77" s="4" t="s">
        <v>71</v>
      </c>
      <c r="B77" s="2" t="str">
        <f t="shared" si="0"/>
        <v>OK</v>
      </c>
      <c r="C77" s="5" t="s">
        <v>103</v>
      </c>
      <c r="E77" s="2" t="str">
        <f t="shared" si="1"/>
        <v>OK</v>
      </c>
      <c r="G77" s="5" t="s">
        <v>103</v>
      </c>
      <c r="H77" s="2" t="str">
        <f t="shared" si="2"/>
        <v>OK</v>
      </c>
      <c r="I77" s="2" t="e">
        <f t="array" aca="1" ref="I77" ca="1">_xludf.XLOOKUP(G77,Label!$A$2:$A$309, Label!$B$2:$B$309)</f>
        <v>#NAME?</v>
      </c>
      <c r="J77" s="2" t="e">
        <f t="array" aca="1" ref="J77" ca="1">_xludf.XLOOKUP(G77,Label!$A$2:$A$309, Label!$C$2:$C$309)</f>
        <v>#NAME?</v>
      </c>
    </row>
    <row r="78" spans="1:10" ht="13">
      <c r="A78" s="4" t="s">
        <v>72</v>
      </c>
      <c r="B78" s="2" t="str">
        <f t="shared" si="0"/>
        <v>OK</v>
      </c>
      <c r="C78" s="5" t="s">
        <v>104</v>
      </c>
      <c r="E78" s="2" t="str">
        <f t="shared" si="1"/>
        <v>OK</v>
      </c>
      <c r="G78" s="5" t="s">
        <v>104</v>
      </c>
      <c r="H78" s="2" t="str">
        <f t="shared" si="2"/>
        <v>OK</v>
      </c>
      <c r="I78" s="2" t="e">
        <f t="array" aca="1" ref="I78" ca="1">_xludf.XLOOKUP(G78,Label!$A$2:$A$309, Label!$B$2:$B$309)</f>
        <v>#NAME?</v>
      </c>
      <c r="J78" s="2" t="e">
        <f t="array" aca="1" ref="J78" ca="1">_xludf.XLOOKUP(G78,Label!$A$2:$A$309, Label!$C$2:$C$309)</f>
        <v>#NAME?</v>
      </c>
    </row>
    <row r="79" spans="1:10" ht="13">
      <c r="A79" s="4" t="s">
        <v>73</v>
      </c>
      <c r="B79" s="2" t="str">
        <f t="shared" si="0"/>
        <v>OK</v>
      </c>
      <c r="C79" s="5" t="s">
        <v>105</v>
      </c>
      <c r="E79" s="2" t="str">
        <f t="shared" si="1"/>
        <v>OK</v>
      </c>
      <c r="G79" s="5" t="s">
        <v>105</v>
      </c>
      <c r="H79" s="2" t="str">
        <f t="shared" si="2"/>
        <v>OK</v>
      </c>
      <c r="I79" s="2" t="e">
        <f t="array" aca="1" ref="I79" ca="1">_xludf.XLOOKUP(G79,Label!$A$2:$A$309, Label!$B$2:$B$309)</f>
        <v>#NAME?</v>
      </c>
      <c r="J79" s="2" t="e">
        <f t="array" aca="1" ref="J79" ca="1">_xludf.XLOOKUP(G79,Label!$A$2:$A$309, Label!$C$2:$C$309)</f>
        <v>#NAME?</v>
      </c>
    </row>
    <row r="80" spans="1:10" ht="13">
      <c r="A80" s="4" t="s">
        <v>74</v>
      </c>
      <c r="B80" s="2" t="str">
        <f t="shared" si="0"/>
        <v>OK</v>
      </c>
      <c r="C80" s="5" t="s">
        <v>106</v>
      </c>
      <c r="E80" s="2" t="str">
        <f t="shared" si="1"/>
        <v>OK</v>
      </c>
      <c r="G80" s="5" t="s">
        <v>106</v>
      </c>
      <c r="H80" s="2" t="str">
        <f t="shared" si="2"/>
        <v>OK</v>
      </c>
      <c r="I80" s="2" t="e">
        <f t="array" aca="1" ref="I80" ca="1">_xludf.XLOOKUP(G80,Label!$A$2:$A$309, Label!$B$2:$B$309)</f>
        <v>#NAME?</v>
      </c>
      <c r="J80" s="2" t="e">
        <f t="array" aca="1" ref="J80" ca="1">_xludf.XLOOKUP(G80,Label!$A$2:$A$309, Label!$C$2:$C$309)</f>
        <v>#NAME?</v>
      </c>
    </row>
    <row r="81" spans="1:10" ht="13">
      <c r="A81" s="4" t="s">
        <v>76</v>
      </c>
      <c r="B81" s="2" t="str">
        <f t="shared" si="0"/>
        <v>OK</v>
      </c>
      <c r="C81" s="5" t="s">
        <v>107</v>
      </c>
      <c r="E81" s="2" t="str">
        <f t="shared" si="1"/>
        <v>OK</v>
      </c>
      <c r="G81" s="5" t="s">
        <v>107</v>
      </c>
      <c r="H81" s="2" t="str">
        <f t="shared" si="2"/>
        <v>OK</v>
      </c>
      <c r="I81" s="2" t="e">
        <f t="array" aca="1" ref="I81" ca="1">_xludf.XLOOKUP(G81,Label!$A$2:$A$309, Label!$B$2:$B$309)</f>
        <v>#NAME?</v>
      </c>
      <c r="J81" s="2" t="e">
        <f t="array" aca="1" ref="J81" ca="1">_xludf.XLOOKUP(G81,Label!$A$2:$A$309, Label!$C$2:$C$309)</f>
        <v>#NAME?</v>
      </c>
    </row>
    <row r="82" spans="1:10" ht="13">
      <c r="A82" s="4" t="s">
        <v>77</v>
      </c>
      <c r="B82" s="2" t="str">
        <f t="shared" si="0"/>
        <v>OK</v>
      </c>
      <c r="C82" s="5" t="s">
        <v>108</v>
      </c>
      <c r="E82" s="2" t="str">
        <f t="shared" si="1"/>
        <v>OK</v>
      </c>
      <c r="G82" s="5" t="s">
        <v>108</v>
      </c>
      <c r="H82" s="2" t="str">
        <f t="shared" si="2"/>
        <v>OK</v>
      </c>
      <c r="I82" s="2" t="e">
        <f t="array" aca="1" ref="I82" ca="1">_xludf.XLOOKUP(G82,Label!$A$2:$A$309, Label!$B$2:$B$309)</f>
        <v>#NAME?</v>
      </c>
      <c r="J82" s="2" t="e">
        <f t="array" aca="1" ref="J82" ca="1">_xludf.XLOOKUP(G82,Label!$A$2:$A$309, Label!$C$2:$C$309)</f>
        <v>#NAME?</v>
      </c>
    </row>
    <row r="83" spans="1:10" ht="13">
      <c r="A83" s="4" t="s">
        <v>78</v>
      </c>
      <c r="B83" s="2" t="str">
        <f t="shared" si="0"/>
        <v>OK</v>
      </c>
      <c r="C83" s="5" t="s">
        <v>109</v>
      </c>
      <c r="E83" s="2" t="str">
        <f t="shared" si="1"/>
        <v>OK</v>
      </c>
      <c r="G83" s="5" t="s">
        <v>109</v>
      </c>
      <c r="H83" s="2" t="str">
        <f t="shared" si="2"/>
        <v>OK</v>
      </c>
      <c r="I83" s="2" t="e">
        <f t="array" aca="1" ref="I83" ca="1">_xludf.XLOOKUP(G83,Label!$A$2:$A$309, Label!$B$2:$B$309)</f>
        <v>#NAME?</v>
      </c>
      <c r="J83" s="2" t="e">
        <f t="array" aca="1" ref="J83" ca="1">_xludf.XLOOKUP(G83,Label!$A$2:$A$309, Label!$C$2:$C$309)</f>
        <v>#NAME?</v>
      </c>
    </row>
    <row r="84" spans="1:10" ht="13">
      <c r="A84" s="4" t="s">
        <v>79</v>
      </c>
      <c r="B84" s="2" t="str">
        <f t="shared" si="0"/>
        <v>OK</v>
      </c>
      <c r="C84" s="5" t="s">
        <v>110</v>
      </c>
      <c r="E84" s="2" t="str">
        <f t="shared" si="1"/>
        <v>OK</v>
      </c>
      <c r="G84" s="5" t="s">
        <v>110</v>
      </c>
      <c r="H84" s="2" t="str">
        <f t="shared" si="2"/>
        <v>OK</v>
      </c>
      <c r="I84" s="2" t="e">
        <f t="array" aca="1" ref="I84" ca="1">_xludf.XLOOKUP(G84,Label!$A$2:$A$309, Label!$B$2:$B$309)</f>
        <v>#NAME?</v>
      </c>
      <c r="J84" s="2" t="e">
        <f t="array" aca="1" ref="J84" ca="1">_xludf.XLOOKUP(G84,Label!$A$2:$A$309, Label!$C$2:$C$309)</f>
        <v>#NAME?</v>
      </c>
    </row>
    <row r="85" spans="1:10" ht="13">
      <c r="A85" s="4" t="s">
        <v>80</v>
      </c>
      <c r="B85" s="2" t="str">
        <f t="shared" si="0"/>
        <v>OK</v>
      </c>
      <c r="C85" s="5" t="s">
        <v>111</v>
      </c>
      <c r="E85" s="2" t="str">
        <f t="shared" si="1"/>
        <v>OK</v>
      </c>
      <c r="G85" s="5" t="s">
        <v>111</v>
      </c>
      <c r="H85" s="2" t="str">
        <f t="shared" si="2"/>
        <v>OK</v>
      </c>
      <c r="I85" s="2" t="e">
        <f t="array" aca="1" ref="I85" ca="1">_xludf.XLOOKUP(G85,Label!$A$2:$A$309, Label!$B$2:$B$309)</f>
        <v>#NAME?</v>
      </c>
      <c r="J85" s="2" t="e">
        <f t="array" aca="1" ref="J85" ca="1">_xludf.XLOOKUP(G85,Label!$A$2:$A$309, Label!$C$2:$C$309)</f>
        <v>#NAME?</v>
      </c>
    </row>
    <row r="86" spans="1:10" ht="13">
      <c r="A86" s="4" t="s">
        <v>81</v>
      </c>
      <c r="B86" s="2" t="str">
        <f t="shared" si="0"/>
        <v>OK</v>
      </c>
      <c r="C86" s="5" t="s">
        <v>112</v>
      </c>
      <c r="E86" s="2" t="str">
        <f t="shared" si="1"/>
        <v>OK</v>
      </c>
      <c r="G86" s="5" t="s">
        <v>112</v>
      </c>
      <c r="H86" s="2" t="str">
        <f t="shared" si="2"/>
        <v>OK</v>
      </c>
      <c r="I86" s="2" t="e">
        <f t="array" aca="1" ref="I86" ca="1">_xludf.XLOOKUP(G86,Label!$A$2:$A$309, Label!$B$2:$B$309)</f>
        <v>#NAME?</v>
      </c>
      <c r="J86" s="2" t="e">
        <f t="array" aca="1" ref="J86" ca="1">_xludf.XLOOKUP(G86,Label!$A$2:$A$309, Label!$C$2:$C$309)</f>
        <v>#NAME?</v>
      </c>
    </row>
    <row r="87" spans="1:10" ht="13">
      <c r="A87" s="4" t="s">
        <v>82</v>
      </c>
      <c r="B87" s="2" t="str">
        <f t="shared" si="0"/>
        <v>OK</v>
      </c>
      <c r="C87" s="5" t="s">
        <v>113</v>
      </c>
      <c r="E87" s="2" t="str">
        <f t="shared" si="1"/>
        <v>OK</v>
      </c>
      <c r="G87" s="5" t="s">
        <v>113</v>
      </c>
      <c r="H87" s="2" t="str">
        <f t="shared" si="2"/>
        <v>OK</v>
      </c>
      <c r="I87" s="2" t="e">
        <f t="array" aca="1" ref="I87" ca="1">_xludf.XLOOKUP(G87,Label!$A$2:$A$309, Label!$B$2:$B$309)</f>
        <v>#NAME?</v>
      </c>
      <c r="J87" s="2" t="e">
        <f t="array" aca="1" ref="J87" ca="1">_xludf.XLOOKUP(G87,Label!$A$2:$A$309, Label!$C$2:$C$309)</f>
        <v>#NAME?</v>
      </c>
    </row>
    <row r="88" spans="1:10" ht="13">
      <c r="A88" s="4" t="s">
        <v>83</v>
      </c>
      <c r="B88" s="2" t="str">
        <f t="shared" si="0"/>
        <v>OK</v>
      </c>
      <c r="C88" s="5" t="s">
        <v>114</v>
      </c>
      <c r="E88" s="2" t="str">
        <f t="shared" si="1"/>
        <v>OK</v>
      </c>
      <c r="G88" s="5" t="s">
        <v>114</v>
      </c>
      <c r="H88" s="2" t="str">
        <f t="shared" si="2"/>
        <v>OK</v>
      </c>
      <c r="I88" s="2" t="e">
        <f t="array" aca="1" ref="I88" ca="1">_xludf.XLOOKUP(G88,Label!$A$2:$A$309, Label!$B$2:$B$309)</f>
        <v>#NAME?</v>
      </c>
      <c r="J88" s="2" t="e">
        <f t="array" aca="1" ref="J88" ca="1">_xludf.XLOOKUP(G88,Label!$A$2:$A$309, Label!$C$2:$C$309)</f>
        <v>#NAME?</v>
      </c>
    </row>
    <row r="89" spans="1:10" ht="13">
      <c r="A89" s="4" t="s">
        <v>84</v>
      </c>
      <c r="B89" s="2" t="str">
        <f t="shared" si="0"/>
        <v>OK</v>
      </c>
      <c r="C89" s="5" t="s">
        <v>115</v>
      </c>
      <c r="E89" s="2" t="str">
        <f t="shared" si="1"/>
        <v>OK</v>
      </c>
      <c r="G89" s="5" t="s">
        <v>115</v>
      </c>
      <c r="H89" s="2" t="str">
        <f t="shared" si="2"/>
        <v>OK</v>
      </c>
      <c r="I89" s="2" t="e">
        <f t="array" aca="1" ref="I89" ca="1">_xludf.XLOOKUP(G89,Label!$A$2:$A$309, Label!$B$2:$B$309)</f>
        <v>#NAME?</v>
      </c>
      <c r="J89" s="2" t="e">
        <f t="array" aca="1" ref="J89" ca="1">_xludf.XLOOKUP(G89,Label!$A$2:$A$309, Label!$C$2:$C$309)</f>
        <v>#NAME?</v>
      </c>
    </row>
    <row r="90" spans="1:10" ht="13">
      <c r="A90" s="4" t="s">
        <v>86</v>
      </c>
      <c r="B90" s="2" t="str">
        <f t="shared" si="0"/>
        <v>OK</v>
      </c>
      <c r="C90" s="5" t="s">
        <v>116</v>
      </c>
      <c r="E90" s="2" t="str">
        <f t="shared" si="1"/>
        <v>OK</v>
      </c>
      <c r="G90" s="5" t="s">
        <v>116</v>
      </c>
      <c r="H90" s="2" t="str">
        <f t="shared" si="2"/>
        <v>OK</v>
      </c>
      <c r="I90" s="2" t="e">
        <f t="array" aca="1" ref="I90" ca="1">_xludf.XLOOKUP(G90,Label!$A$2:$A$309, Label!$B$2:$B$309)</f>
        <v>#NAME?</v>
      </c>
      <c r="J90" s="2" t="e">
        <f t="array" aca="1" ref="J90" ca="1">_xludf.XLOOKUP(G90,Label!$A$2:$A$309, Label!$C$2:$C$309)</f>
        <v>#NAME?</v>
      </c>
    </row>
    <row r="91" spans="1:10" ht="13">
      <c r="A91" s="4" t="s">
        <v>87</v>
      </c>
      <c r="B91" s="2" t="str">
        <f t="shared" si="0"/>
        <v>OK</v>
      </c>
      <c r="C91" s="5" t="s">
        <v>117</v>
      </c>
      <c r="E91" s="2" t="str">
        <f t="shared" si="1"/>
        <v>OK</v>
      </c>
      <c r="G91" s="5" t="s">
        <v>117</v>
      </c>
      <c r="H91" s="2" t="str">
        <f t="shared" si="2"/>
        <v>OK</v>
      </c>
      <c r="I91" s="2" t="e">
        <f t="array" aca="1" ref="I91" ca="1">_xludf.XLOOKUP(G91,Label!$A$2:$A$309, Label!$B$2:$B$309)</f>
        <v>#NAME?</v>
      </c>
      <c r="J91" s="2" t="e">
        <f t="array" aca="1" ref="J91" ca="1">_xludf.XLOOKUP(G91,Label!$A$2:$A$309, Label!$C$2:$C$309)</f>
        <v>#NAME?</v>
      </c>
    </row>
    <row r="92" spans="1:10" ht="13">
      <c r="A92" s="4" t="s">
        <v>88</v>
      </c>
      <c r="B92" s="2" t="str">
        <f t="shared" si="0"/>
        <v>OK</v>
      </c>
      <c r="C92" s="5" t="s">
        <v>118</v>
      </c>
      <c r="E92" s="2" t="str">
        <f t="shared" si="1"/>
        <v>OK</v>
      </c>
      <c r="G92" s="5" t="s">
        <v>118</v>
      </c>
      <c r="H92" s="2" t="str">
        <f t="shared" si="2"/>
        <v>OK</v>
      </c>
      <c r="I92" s="2" t="e">
        <f t="array" aca="1" ref="I92" ca="1">_xludf.XLOOKUP(G92,Label!$A$2:$A$309, Label!$B$2:$B$309)</f>
        <v>#NAME?</v>
      </c>
      <c r="J92" s="2" t="e">
        <f t="array" aca="1" ref="J92" ca="1">_xludf.XLOOKUP(G92,Label!$A$2:$A$309, Label!$C$2:$C$309)</f>
        <v>#NAME?</v>
      </c>
    </row>
    <row r="93" spans="1:10" ht="13">
      <c r="A93" s="4" t="s">
        <v>89</v>
      </c>
      <c r="B93" s="2" t="str">
        <f t="shared" si="0"/>
        <v>OK</v>
      </c>
      <c r="C93" s="5" t="s">
        <v>119</v>
      </c>
      <c r="E93" s="2" t="str">
        <f t="shared" si="1"/>
        <v>OK</v>
      </c>
      <c r="G93" s="5" t="s">
        <v>119</v>
      </c>
      <c r="H93" s="2" t="str">
        <f t="shared" si="2"/>
        <v>OK</v>
      </c>
      <c r="I93" s="2" t="e">
        <f t="array" aca="1" ref="I93" ca="1">_xludf.XLOOKUP(G93,Label!$A$2:$A$309, Label!$B$2:$B$309)</f>
        <v>#NAME?</v>
      </c>
      <c r="J93" s="2" t="e">
        <f t="array" aca="1" ref="J93" ca="1">_xludf.XLOOKUP(G93,Label!$A$2:$A$309, Label!$C$2:$C$309)</f>
        <v>#NAME?</v>
      </c>
    </row>
    <row r="94" spans="1:10" ht="13">
      <c r="A94" s="4" t="s">
        <v>90</v>
      </c>
      <c r="B94" s="2" t="str">
        <f t="shared" si="0"/>
        <v>OK</v>
      </c>
      <c r="C94" s="5" t="s">
        <v>120</v>
      </c>
      <c r="E94" s="2" t="str">
        <f t="shared" si="1"/>
        <v>OK</v>
      </c>
      <c r="G94" s="5" t="s">
        <v>120</v>
      </c>
      <c r="H94" s="2" t="str">
        <f t="shared" si="2"/>
        <v>OK</v>
      </c>
      <c r="I94" s="2" t="e">
        <f t="array" aca="1" ref="I94" ca="1">_xludf.XLOOKUP(G94,Label!$A$2:$A$309, Label!$B$2:$B$309)</f>
        <v>#NAME?</v>
      </c>
      <c r="J94" s="2" t="e">
        <f t="array" aca="1" ref="J94" ca="1">_xludf.XLOOKUP(G94,Label!$A$2:$A$309, Label!$C$2:$C$309)</f>
        <v>#NAME?</v>
      </c>
    </row>
    <row r="95" spans="1:10" ht="13">
      <c r="A95" s="4" t="s">
        <v>92</v>
      </c>
      <c r="B95" s="2" t="str">
        <f t="shared" si="0"/>
        <v>OK</v>
      </c>
      <c r="C95" s="5" t="s">
        <v>122</v>
      </c>
      <c r="E95" s="2" t="str">
        <f t="shared" si="1"/>
        <v>OK</v>
      </c>
      <c r="G95" s="5" t="s">
        <v>122</v>
      </c>
      <c r="H95" s="2" t="str">
        <f t="shared" si="2"/>
        <v>OK</v>
      </c>
      <c r="I95" s="2" t="e">
        <f t="array" aca="1" ref="I95" ca="1">_xludf.XLOOKUP(G95,Label!$A$2:$A$309, Label!$B$2:$B$309)</f>
        <v>#NAME?</v>
      </c>
      <c r="J95" s="2" t="e">
        <f t="array" aca="1" ref="J95" ca="1">_xludf.XLOOKUP(G95,Label!$A$2:$A$309, Label!$C$2:$C$309)</f>
        <v>#NAME?</v>
      </c>
    </row>
    <row r="96" spans="1:10" ht="13">
      <c r="A96" s="4" t="s">
        <v>93</v>
      </c>
      <c r="B96" s="2" t="str">
        <f t="shared" si="0"/>
        <v>OK</v>
      </c>
      <c r="C96" s="5" t="s">
        <v>123</v>
      </c>
      <c r="E96" s="2" t="str">
        <f t="shared" si="1"/>
        <v>OK</v>
      </c>
      <c r="G96" s="5" t="s">
        <v>123</v>
      </c>
      <c r="H96" s="2" t="str">
        <f t="shared" si="2"/>
        <v>OK</v>
      </c>
      <c r="I96" s="2" t="e">
        <f t="array" aca="1" ref="I96" ca="1">_xludf.XLOOKUP(G96,Label!$A$2:$A$309, Label!$B$2:$B$309)</f>
        <v>#NAME?</v>
      </c>
      <c r="J96" s="2" t="e">
        <f t="array" aca="1" ref="J96" ca="1">_xludf.XLOOKUP(G96,Label!$A$2:$A$309, Label!$C$2:$C$309)</f>
        <v>#NAME?</v>
      </c>
    </row>
    <row r="97" spans="1:10" ht="13">
      <c r="A97" s="4" t="s">
        <v>95</v>
      </c>
      <c r="B97" s="2" t="str">
        <f t="shared" si="0"/>
        <v>OK</v>
      </c>
      <c r="C97" s="5" t="s">
        <v>124</v>
      </c>
      <c r="E97" s="2" t="str">
        <f t="shared" si="1"/>
        <v>OK</v>
      </c>
      <c r="G97" s="5" t="s">
        <v>124</v>
      </c>
      <c r="H97" s="2" t="str">
        <f t="shared" si="2"/>
        <v>OK</v>
      </c>
      <c r="I97" s="2" t="e">
        <f t="array" aca="1" ref="I97" ca="1">_xludf.XLOOKUP(G97,Label!$A$2:$A$309, Label!$B$2:$B$309)</f>
        <v>#NAME?</v>
      </c>
      <c r="J97" s="2" t="e">
        <f t="array" aca="1" ref="J97" ca="1">_xludf.XLOOKUP(G97,Label!$A$2:$A$309, Label!$C$2:$C$309)</f>
        <v>#NAME?</v>
      </c>
    </row>
    <row r="98" spans="1:10" ht="13">
      <c r="A98" s="4" t="s">
        <v>96</v>
      </c>
      <c r="B98" s="2" t="str">
        <f t="shared" si="0"/>
        <v>OK</v>
      </c>
      <c r="C98" s="5" t="s">
        <v>125</v>
      </c>
      <c r="E98" s="2" t="str">
        <f t="shared" si="1"/>
        <v>OK</v>
      </c>
      <c r="G98" s="5" t="s">
        <v>125</v>
      </c>
      <c r="H98" s="2" t="str">
        <f t="shared" si="2"/>
        <v>OK</v>
      </c>
      <c r="I98" s="2" t="e">
        <f t="array" aca="1" ref="I98" ca="1">_xludf.XLOOKUP(G98,Label!$A$2:$A$309, Label!$B$2:$B$309)</f>
        <v>#NAME?</v>
      </c>
      <c r="J98" s="2" t="e">
        <f t="array" aca="1" ref="J98" ca="1">_xludf.XLOOKUP(G98,Label!$A$2:$A$309, Label!$C$2:$C$309)</f>
        <v>#NAME?</v>
      </c>
    </row>
    <row r="99" spans="1:10" ht="13">
      <c r="A99" s="4" t="s">
        <v>98</v>
      </c>
      <c r="B99" s="2" t="str">
        <f t="shared" si="0"/>
        <v>OK</v>
      </c>
      <c r="C99" s="5" t="s">
        <v>126</v>
      </c>
      <c r="E99" s="2" t="str">
        <f t="shared" si="1"/>
        <v>OK</v>
      </c>
      <c r="G99" s="5" t="s">
        <v>126</v>
      </c>
      <c r="H99" s="2" t="str">
        <f t="shared" si="2"/>
        <v>OK</v>
      </c>
      <c r="I99" s="2" t="e">
        <f t="array" aca="1" ref="I99" ca="1">_xludf.XLOOKUP(G99,Label!$A$2:$A$309, Label!$B$2:$B$309)</f>
        <v>#NAME?</v>
      </c>
      <c r="J99" s="2" t="e">
        <f t="array" aca="1" ref="J99" ca="1">_xludf.XLOOKUP(G99,Label!$A$2:$A$309, Label!$C$2:$C$309)</f>
        <v>#NAME?</v>
      </c>
    </row>
    <row r="100" spans="1:10" ht="13">
      <c r="A100" s="4" t="s">
        <v>99</v>
      </c>
      <c r="B100" s="2" t="str">
        <f t="shared" si="0"/>
        <v>OK</v>
      </c>
      <c r="C100" s="5" t="s">
        <v>127</v>
      </c>
      <c r="E100" s="2" t="str">
        <f t="shared" si="1"/>
        <v>OK</v>
      </c>
      <c r="G100" s="5" t="s">
        <v>127</v>
      </c>
      <c r="H100" s="2" t="str">
        <f t="shared" si="2"/>
        <v>OK</v>
      </c>
      <c r="I100" s="2" t="e">
        <f t="array" aca="1" ref="I100" ca="1">_xludf.XLOOKUP(G100,Label!$A$2:$A$309, Label!$B$2:$B$309)</f>
        <v>#NAME?</v>
      </c>
      <c r="J100" s="2" t="e">
        <f t="array" aca="1" ref="J100" ca="1">_xludf.XLOOKUP(G100,Label!$A$2:$A$309, Label!$C$2:$C$309)</f>
        <v>#NAME?</v>
      </c>
    </row>
    <row r="101" spans="1:10" ht="13">
      <c r="A101" s="4" t="s">
        <v>100</v>
      </c>
      <c r="B101" s="2" t="str">
        <f t="shared" si="0"/>
        <v>OK</v>
      </c>
      <c r="C101" s="5" t="s">
        <v>128</v>
      </c>
      <c r="E101" s="2" t="str">
        <f t="shared" si="1"/>
        <v>OK</v>
      </c>
      <c r="G101" s="5" t="s">
        <v>128</v>
      </c>
      <c r="H101" s="2" t="str">
        <f t="shared" si="2"/>
        <v>OK</v>
      </c>
      <c r="I101" s="2" t="e">
        <f t="array" aca="1" ref="I101" ca="1">_xludf.XLOOKUP(G101,Label!$A$2:$A$309, Label!$B$2:$B$309)</f>
        <v>#NAME?</v>
      </c>
      <c r="J101" s="2" t="e">
        <f t="array" aca="1" ref="J101" ca="1">_xludf.XLOOKUP(G101,Label!$A$2:$A$309, Label!$C$2:$C$309)</f>
        <v>#NAME?</v>
      </c>
    </row>
    <row r="102" spans="1:10" ht="13">
      <c r="A102" s="4" t="s">
        <v>101</v>
      </c>
      <c r="B102" s="2" t="str">
        <f t="shared" si="0"/>
        <v>OK</v>
      </c>
      <c r="C102" s="5" t="s">
        <v>129</v>
      </c>
      <c r="E102" s="2" t="str">
        <f t="shared" si="1"/>
        <v>OK</v>
      </c>
      <c r="G102" s="5" t="s">
        <v>129</v>
      </c>
      <c r="H102" s="2" t="str">
        <f t="shared" si="2"/>
        <v>OK</v>
      </c>
      <c r="I102" s="2" t="e">
        <f t="array" aca="1" ref="I102" ca="1">_xludf.XLOOKUP(G102,Label!$A$2:$A$309, Label!$B$2:$B$309)</f>
        <v>#NAME?</v>
      </c>
      <c r="J102" s="2" t="e">
        <f t="array" aca="1" ref="J102" ca="1">_xludf.XLOOKUP(G102,Label!$A$2:$A$309, Label!$C$2:$C$309)</f>
        <v>#NAME?</v>
      </c>
    </row>
    <row r="103" spans="1:10" ht="13">
      <c r="A103" s="4" t="s">
        <v>102</v>
      </c>
      <c r="B103" s="2" t="str">
        <f t="shared" si="0"/>
        <v>OK</v>
      </c>
      <c r="C103" s="5" t="s">
        <v>131</v>
      </c>
      <c r="E103" s="2" t="str">
        <f t="shared" si="1"/>
        <v>OK</v>
      </c>
      <c r="G103" s="5" t="s">
        <v>131</v>
      </c>
      <c r="H103" s="2" t="str">
        <f t="shared" si="2"/>
        <v>OK</v>
      </c>
      <c r="I103" s="2" t="e">
        <f t="array" aca="1" ref="I103" ca="1">_xludf.XLOOKUP(G103,Label!$A$2:$A$309, Label!$B$2:$B$309)</f>
        <v>#NAME?</v>
      </c>
      <c r="J103" s="2" t="e">
        <f t="array" aca="1" ref="J103" ca="1">_xludf.XLOOKUP(G103,Label!$A$2:$A$309, Label!$C$2:$C$309)</f>
        <v>#NAME?</v>
      </c>
    </row>
    <row r="104" spans="1:10" ht="13">
      <c r="A104" s="4" t="s">
        <v>103</v>
      </c>
      <c r="B104" s="2" t="str">
        <f t="shared" si="0"/>
        <v>OK</v>
      </c>
      <c r="C104" s="5" t="s">
        <v>132</v>
      </c>
      <c r="E104" s="2" t="str">
        <f t="shared" si="1"/>
        <v>OK</v>
      </c>
      <c r="G104" s="5" t="s">
        <v>132</v>
      </c>
      <c r="H104" s="2" t="str">
        <f t="shared" si="2"/>
        <v>OK</v>
      </c>
      <c r="I104" s="2" t="e">
        <f t="array" aca="1" ref="I104" ca="1">_xludf.XLOOKUP(G104,Label!$A$2:$A$309, Label!$B$2:$B$309)</f>
        <v>#NAME?</v>
      </c>
      <c r="J104" s="2" t="e">
        <f t="array" aca="1" ref="J104" ca="1">_xludf.XLOOKUP(G104,Label!$A$2:$A$309, Label!$C$2:$C$309)</f>
        <v>#NAME?</v>
      </c>
    </row>
    <row r="105" spans="1:10" ht="13">
      <c r="A105" s="4" t="s">
        <v>104</v>
      </c>
      <c r="B105" s="2" t="str">
        <f t="shared" si="0"/>
        <v>OK</v>
      </c>
      <c r="C105" s="5" t="s">
        <v>133</v>
      </c>
      <c r="E105" s="2" t="str">
        <f t="shared" si="1"/>
        <v>OK</v>
      </c>
      <c r="G105" s="5" t="s">
        <v>133</v>
      </c>
      <c r="H105" s="2" t="str">
        <f t="shared" si="2"/>
        <v>OK</v>
      </c>
      <c r="I105" s="2" t="e">
        <f t="array" aca="1" ref="I105" ca="1">_xludf.XLOOKUP(G105,Label!$A$2:$A$309, Label!$B$2:$B$309)</f>
        <v>#NAME?</v>
      </c>
      <c r="J105" s="2" t="e">
        <f t="array" aca="1" ref="J105" ca="1">_xludf.XLOOKUP(G105,Label!$A$2:$A$309, Label!$C$2:$C$309)</f>
        <v>#NAME?</v>
      </c>
    </row>
    <row r="106" spans="1:10" ht="13">
      <c r="A106" s="4" t="s">
        <v>105</v>
      </c>
      <c r="B106" s="2" t="str">
        <f t="shared" si="0"/>
        <v>OK</v>
      </c>
      <c r="C106" s="5" t="s">
        <v>135</v>
      </c>
      <c r="E106" s="2" t="str">
        <f t="shared" si="1"/>
        <v>OK</v>
      </c>
      <c r="G106" s="5" t="s">
        <v>135</v>
      </c>
      <c r="H106" s="2" t="str">
        <f t="shared" si="2"/>
        <v>OK</v>
      </c>
      <c r="I106" s="2" t="e">
        <f t="array" aca="1" ref="I106" ca="1">_xludf.XLOOKUP(G106,Label!$A$2:$A$309, Label!$B$2:$B$309)</f>
        <v>#NAME?</v>
      </c>
      <c r="J106" s="2" t="e">
        <f t="array" aca="1" ref="J106" ca="1">_xludf.XLOOKUP(G106,Label!$A$2:$A$309, Label!$C$2:$C$309)</f>
        <v>#NAME?</v>
      </c>
    </row>
    <row r="107" spans="1:10" ht="13">
      <c r="A107" s="4" t="s">
        <v>106</v>
      </c>
      <c r="B107" s="2" t="str">
        <f t="shared" si="0"/>
        <v>OK</v>
      </c>
      <c r="C107" s="5" t="s">
        <v>136</v>
      </c>
      <c r="E107" s="2" t="str">
        <f t="shared" si="1"/>
        <v>OK</v>
      </c>
      <c r="G107" s="5" t="s">
        <v>136</v>
      </c>
      <c r="H107" s="2" t="str">
        <f t="shared" si="2"/>
        <v>OK</v>
      </c>
      <c r="I107" s="2" t="e">
        <f t="array" aca="1" ref="I107" ca="1">_xludf.XLOOKUP(G107,Label!$A$2:$A$309, Label!$B$2:$B$309)</f>
        <v>#NAME?</v>
      </c>
      <c r="J107" s="2" t="e">
        <f t="array" aca="1" ref="J107" ca="1">_xludf.XLOOKUP(G107,Label!$A$2:$A$309, Label!$C$2:$C$309)</f>
        <v>#NAME?</v>
      </c>
    </row>
    <row r="108" spans="1:10" ht="13">
      <c r="A108" s="4" t="s">
        <v>107</v>
      </c>
      <c r="B108" s="2" t="str">
        <f t="shared" si="0"/>
        <v>OK</v>
      </c>
      <c r="C108" s="5" t="s">
        <v>137</v>
      </c>
      <c r="E108" s="2" t="str">
        <f t="shared" si="1"/>
        <v>OK</v>
      </c>
      <c r="G108" s="5" t="s">
        <v>137</v>
      </c>
      <c r="H108" s="2" t="str">
        <f t="shared" si="2"/>
        <v>OK</v>
      </c>
      <c r="I108" s="2" t="e">
        <f t="array" aca="1" ref="I108" ca="1">_xludf.XLOOKUP(G108,Label!$A$2:$A$309, Label!$B$2:$B$309)</f>
        <v>#NAME?</v>
      </c>
      <c r="J108" s="2" t="e">
        <f t="array" aca="1" ref="J108" ca="1">_xludf.XLOOKUP(G108,Label!$A$2:$A$309, Label!$C$2:$C$309)</f>
        <v>#NAME?</v>
      </c>
    </row>
    <row r="109" spans="1:10" ht="13">
      <c r="A109" s="4" t="s">
        <v>108</v>
      </c>
      <c r="B109" s="2" t="str">
        <f t="shared" si="0"/>
        <v>OK</v>
      </c>
      <c r="C109" s="5" t="s">
        <v>138</v>
      </c>
      <c r="E109" s="2" t="str">
        <f t="shared" si="1"/>
        <v>OK</v>
      </c>
      <c r="G109" s="5" t="s">
        <v>138</v>
      </c>
      <c r="H109" s="2" t="str">
        <f t="shared" si="2"/>
        <v>OK</v>
      </c>
      <c r="I109" s="2" t="e">
        <f t="array" aca="1" ref="I109" ca="1">_xludf.XLOOKUP(G109,Label!$A$2:$A$309, Label!$B$2:$B$309)</f>
        <v>#NAME?</v>
      </c>
      <c r="J109" s="2" t="e">
        <f t="array" aca="1" ref="J109" ca="1">_xludf.XLOOKUP(G109,Label!$A$2:$A$309, Label!$C$2:$C$309)</f>
        <v>#NAME?</v>
      </c>
    </row>
    <row r="110" spans="1:10" ht="13">
      <c r="A110" s="4" t="s">
        <v>109</v>
      </c>
      <c r="B110" s="2" t="str">
        <f t="shared" si="0"/>
        <v>OK</v>
      </c>
      <c r="C110" s="5" t="s">
        <v>139</v>
      </c>
      <c r="E110" s="2" t="str">
        <f t="shared" si="1"/>
        <v>OK</v>
      </c>
      <c r="G110" s="5" t="s">
        <v>139</v>
      </c>
      <c r="H110" s="2" t="str">
        <f t="shared" si="2"/>
        <v>OK</v>
      </c>
      <c r="I110" s="2" t="e">
        <f t="array" aca="1" ref="I110" ca="1">_xludf.XLOOKUP(G110,Label!$A$2:$A$309, Label!$B$2:$B$309)</f>
        <v>#NAME?</v>
      </c>
      <c r="J110" s="2" t="e">
        <f t="array" aca="1" ref="J110" ca="1">_xludf.XLOOKUP(G110,Label!$A$2:$A$309, Label!$C$2:$C$309)</f>
        <v>#NAME?</v>
      </c>
    </row>
    <row r="111" spans="1:10" ht="13">
      <c r="A111" s="4" t="s">
        <v>110</v>
      </c>
      <c r="B111" s="2" t="str">
        <f t="shared" si="0"/>
        <v>OK</v>
      </c>
      <c r="C111" s="5" t="s">
        <v>140</v>
      </c>
      <c r="E111" s="2" t="str">
        <f t="shared" si="1"/>
        <v>OK</v>
      </c>
      <c r="G111" s="5" t="s">
        <v>140</v>
      </c>
      <c r="H111" s="2" t="str">
        <f t="shared" si="2"/>
        <v>OK</v>
      </c>
      <c r="I111" s="2" t="e">
        <f t="array" aca="1" ref="I111" ca="1">_xludf.XLOOKUP(G111,Label!$A$2:$A$309, Label!$B$2:$B$309)</f>
        <v>#NAME?</v>
      </c>
      <c r="J111" s="2" t="e">
        <f t="array" aca="1" ref="J111" ca="1">_xludf.XLOOKUP(G111,Label!$A$2:$A$309, Label!$C$2:$C$309)</f>
        <v>#NAME?</v>
      </c>
    </row>
    <row r="112" spans="1:10" ht="13">
      <c r="A112" s="4" t="s">
        <v>111</v>
      </c>
      <c r="B112" s="2" t="str">
        <f t="shared" si="0"/>
        <v>OK</v>
      </c>
      <c r="C112" s="5" t="s">
        <v>141</v>
      </c>
      <c r="E112" s="2" t="str">
        <f t="shared" si="1"/>
        <v>OK</v>
      </c>
      <c r="G112" s="5" t="s">
        <v>141</v>
      </c>
      <c r="H112" s="2" t="str">
        <f t="shared" si="2"/>
        <v>OK</v>
      </c>
      <c r="I112" s="2" t="e">
        <f t="array" aca="1" ref="I112" ca="1">_xludf.XLOOKUP(G112,Label!$A$2:$A$309, Label!$B$2:$B$309)</f>
        <v>#NAME?</v>
      </c>
      <c r="J112" s="2" t="e">
        <f t="array" aca="1" ref="J112" ca="1">_xludf.XLOOKUP(G112,Label!$A$2:$A$309, Label!$C$2:$C$309)</f>
        <v>#NAME?</v>
      </c>
    </row>
    <row r="113" spans="1:10" ht="13">
      <c r="A113" s="4" t="s">
        <v>112</v>
      </c>
      <c r="B113" s="2" t="str">
        <f t="shared" si="0"/>
        <v>OK</v>
      </c>
      <c r="C113" s="5" t="s">
        <v>142</v>
      </c>
      <c r="E113" s="2" t="str">
        <f t="shared" si="1"/>
        <v>OK</v>
      </c>
      <c r="G113" s="5" t="s">
        <v>142</v>
      </c>
      <c r="H113" s="2" t="str">
        <f t="shared" si="2"/>
        <v>OK</v>
      </c>
      <c r="I113" s="2" t="e">
        <f t="array" aca="1" ref="I113" ca="1">_xludf.XLOOKUP(G113,Label!$A$2:$A$309, Label!$B$2:$B$309)</f>
        <v>#NAME?</v>
      </c>
      <c r="J113" s="2" t="e">
        <f t="array" aca="1" ref="J113" ca="1">_xludf.XLOOKUP(G113,Label!$A$2:$A$309, Label!$C$2:$C$309)</f>
        <v>#NAME?</v>
      </c>
    </row>
    <row r="114" spans="1:10" ht="13">
      <c r="A114" s="4" t="s">
        <v>113</v>
      </c>
      <c r="B114" s="2" t="str">
        <f t="shared" si="0"/>
        <v>OK</v>
      </c>
      <c r="C114" s="5" t="s">
        <v>143</v>
      </c>
      <c r="E114" s="2" t="str">
        <f t="shared" si="1"/>
        <v>OK</v>
      </c>
      <c r="G114" s="5" t="s">
        <v>143</v>
      </c>
      <c r="H114" s="2" t="str">
        <f t="shared" si="2"/>
        <v>OK</v>
      </c>
      <c r="I114" s="2" t="e">
        <f t="array" aca="1" ref="I114" ca="1">_xludf.XLOOKUP(G114,Label!$A$2:$A$309, Label!$B$2:$B$309)</f>
        <v>#NAME?</v>
      </c>
      <c r="J114" s="2" t="e">
        <f t="array" aca="1" ref="J114" ca="1">_xludf.XLOOKUP(G114,Label!$A$2:$A$309, Label!$C$2:$C$309)</f>
        <v>#NAME?</v>
      </c>
    </row>
    <row r="115" spans="1:10" ht="13">
      <c r="A115" s="4" t="s">
        <v>114</v>
      </c>
      <c r="B115" s="2" t="str">
        <f t="shared" si="0"/>
        <v>OK</v>
      </c>
      <c r="C115" s="5" t="s">
        <v>144</v>
      </c>
      <c r="E115" s="2" t="str">
        <f t="shared" si="1"/>
        <v>OK</v>
      </c>
      <c r="G115" s="5" t="s">
        <v>144</v>
      </c>
      <c r="H115" s="2" t="str">
        <f t="shared" si="2"/>
        <v>OK</v>
      </c>
      <c r="I115" s="2" t="e">
        <f t="array" aca="1" ref="I115" ca="1">_xludf.XLOOKUP(G115,Label!$A$2:$A$309, Label!$B$2:$B$309)</f>
        <v>#NAME?</v>
      </c>
      <c r="J115" s="2" t="e">
        <f t="array" aca="1" ref="J115" ca="1">_xludf.XLOOKUP(G115,Label!$A$2:$A$309, Label!$C$2:$C$309)</f>
        <v>#NAME?</v>
      </c>
    </row>
    <row r="116" spans="1:10" ht="13">
      <c r="A116" s="4" t="s">
        <v>115</v>
      </c>
      <c r="B116" s="2" t="str">
        <f t="shared" si="0"/>
        <v>OK</v>
      </c>
      <c r="C116" s="5" t="s">
        <v>145</v>
      </c>
      <c r="E116" s="2" t="str">
        <f t="shared" si="1"/>
        <v>OK</v>
      </c>
      <c r="G116" s="5" t="s">
        <v>145</v>
      </c>
      <c r="H116" s="2" t="str">
        <f t="shared" si="2"/>
        <v>OK</v>
      </c>
      <c r="I116" s="2" t="e">
        <f t="array" aca="1" ref="I116" ca="1">_xludf.XLOOKUP(G116,Label!$A$2:$A$309, Label!$B$2:$B$309)</f>
        <v>#NAME?</v>
      </c>
      <c r="J116" s="2" t="e">
        <f t="array" aca="1" ref="J116" ca="1">_xludf.XLOOKUP(G116,Label!$A$2:$A$309, Label!$C$2:$C$309)</f>
        <v>#NAME?</v>
      </c>
    </row>
    <row r="117" spans="1:10" ht="13">
      <c r="A117" s="4" t="s">
        <v>116</v>
      </c>
      <c r="B117" s="2" t="str">
        <f t="shared" si="0"/>
        <v>OK</v>
      </c>
      <c r="C117" s="5" t="s">
        <v>146</v>
      </c>
      <c r="E117" s="2" t="str">
        <f t="shared" si="1"/>
        <v>OK</v>
      </c>
      <c r="G117" s="5" t="s">
        <v>146</v>
      </c>
      <c r="H117" s="2" t="str">
        <f t="shared" si="2"/>
        <v>OK</v>
      </c>
      <c r="I117" s="2" t="e">
        <f t="array" aca="1" ref="I117" ca="1">_xludf.XLOOKUP(G117,Label!$A$2:$A$309, Label!$B$2:$B$309)</f>
        <v>#NAME?</v>
      </c>
      <c r="J117" s="2" t="e">
        <f t="array" aca="1" ref="J117" ca="1">_xludf.XLOOKUP(G117,Label!$A$2:$A$309, Label!$C$2:$C$309)</f>
        <v>#NAME?</v>
      </c>
    </row>
    <row r="118" spans="1:10" ht="13">
      <c r="A118" s="4" t="s">
        <v>117</v>
      </c>
      <c r="B118" s="2" t="str">
        <f t="shared" si="0"/>
        <v>OK</v>
      </c>
      <c r="C118" s="5" t="s">
        <v>147</v>
      </c>
      <c r="E118" s="2" t="str">
        <f t="shared" si="1"/>
        <v>OK</v>
      </c>
      <c r="G118" s="5" t="s">
        <v>147</v>
      </c>
      <c r="H118" s="2" t="str">
        <f t="shared" si="2"/>
        <v>OK</v>
      </c>
      <c r="I118" s="2" t="e">
        <f t="array" aca="1" ref="I118" ca="1">_xludf.XLOOKUP(G118,Label!$A$2:$A$309, Label!$B$2:$B$309)</f>
        <v>#NAME?</v>
      </c>
      <c r="J118" s="2" t="e">
        <f t="array" aca="1" ref="J118" ca="1">_xludf.XLOOKUP(G118,Label!$A$2:$A$309, Label!$C$2:$C$309)</f>
        <v>#NAME?</v>
      </c>
    </row>
    <row r="119" spans="1:10" ht="13">
      <c r="A119" s="4" t="s">
        <v>118</v>
      </c>
      <c r="B119" s="2" t="str">
        <f t="shared" si="0"/>
        <v>OK</v>
      </c>
      <c r="C119" s="5" t="s">
        <v>149</v>
      </c>
      <c r="E119" s="2" t="str">
        <f t="shared" si="1"/>
        <v>OK</v>
      </c>
      <c r="G119" s="5" t="s">
        <v>149</v>
      </c>
      <c r="H119" s="2" t="str">
        <f t="shared" si="2"/>
        <v>OK</v>
      </c>
      <c r="I119" s="2" t="e">
        <f t="array" aca="1" ref="I119" ca="1">_xludf.XLOOKUP(G119,Label!$A$2:$A$309, Label!$B$2:$B$309)</f>
        <v>#NAME?</v>
      </c>
      <c r="J119" s="2" t="e">
        <f t="array" aca="1" ref="J119" ca="1">_xludf.XLOOKUP(G119,Label!$A$2:$A$309, Label!$C$2:$C$309)</f>
        <v>#NAME?</v>
      </c>
    </row>
    <row r="120" spans="1:10" ht="13">
      <c r="A120" s="4" t="s">
        <v>119</v>
      </c>
      <c r="B120" s="2" t="str">
        <f t="shared" si="0"/>
        <v>OK</v>
      </c>
      <c r="C120" s="5" t="s">
        <v>150</v>
      </c>
      <c r="E120" s="2" t="str">
        <f t="shared" si="1"/>
        <v>OK</v>
      </c>
      <c r="G120" s="5" t="s">
        <v>150</v>
      </c>
      <c r="H120" s="2" t="str">
        <f t="shared" si="2"/>
        <v>OK</v>
      </c>
      <c r="I120" s="2" t="e">
        <f t="array" aca="1" ref="I120" ca="1">_xludf.XLOOKUP(G120,Label!$A$2:$A$309, Label!$B$2:$B$309)</f>
        <v>#NAME?</v>
      </c>
      <c r="J120" s="2" t="e">
        <f t="array" aca="1" ref="J120" ca="1">_xludf.XLOOKUP(G120,Label!$A$2:$A$309, Label!$C$2:$C$309)</f>
        <v>#NAME?</v>
      </c>
    </row>
    <row r="121" spans="1:10" ht="13">
      <c r="A121" s="4" t="s">
        <v>120</v>
      </c>
      <c r="B121" s="2" t="str">
        <f t="shared" si="0"/>
        <v>OK</v>
      </c>
      <c r="C121" s="5" t="s">
        <v>151</v>
      </c>
      <c r="E121" s="2" t="str">
        <f t="shared" si="1"/>
        <v>OK</v>
      </c>
      <c r="G121" s="5" t="s">
        <v>151</v>
      </c>
      <c r="H121" s="2" t="str">
        <f t="shared" si="2"/>
        <v>OK</v>
      </c>
      <c r="I121" s="2" t="e">
        <f t="array" aca="1" ref="I121" ca="1">_xludf.XLOOKUP(G121,Label!$A$2:$A$309, Label!$B$2:$B$309)</f>
        <v>#NAME?</v>
      </c>
      <c r="J121" s="2" t="e">
        <f t="array" aca="1" ref="J121" ca="1">_xludf.XLOOKUP(G121,Label!$A$2:$A$309, Label!$C$2:$C$309)</f>
        <v>#NAME?</v>
      </c>
    </row>
    <row r="122" spans="1:10" ht="13">
      <c r="A122" s="4" t="s">
        <v>122</v>
      </c>
      <c r="B122" s="2" t="str">
        <f t="shared" si="0"/>
        <v>OK</v>
      </c>
      <c r="C122" s="5" t="s">
        <v>152</v>
      </c>
      <c r="E122" s="2" t="str">
        <f t="shared" si="1"/>
        <v>OK</v>
      </c>
      <c r="G122" s="5" t="s">
        <v>152</v>
      </c>
      <c r="H122" s="2" t="str">
        <f t="shared" si="2"/>
        <v>OK</v>
      </c>
      <c r="I122" s="2" t="e">
        <f t="array" aca="1" ref="I122" ca="1">_xludf.XLOOKUP(G122,Label!$A$2:$A$309, Label!$B$2:$B$309)</f>
        <v>#NAME?</v>
      </c>
      <c r="J122" s="2" t="e">
        <f t="array" aca="1" ref="J122" ca="1">_xludf.XLOOKUP(G122,Label!$A$2:$A$309, Label!$C$2:$C$309)</f>
        <v>#NAME?</v>
      </c>
    </row>
    <row r="123" spans="1:10" ht="13">
      <c r="A123" s="4" t="s">
        <v>123</v>
      </c>
      <c r="B123" s="2" t="str">
        <f t="shared" si="0"/>
        <v>OK</v>
      </c>
      <c r="C123" s="5" t="s">
        <v>154</v>
      </c>
      <c r="E123" s="2" t="str">
        <f t="shared" si="1"/>
        <v>OK</v>
      </c>
      <c r="G123" s="5" t="s">
        <v>154</v>
      </c>
      <c r="H123" s="2" t="str">
        <f t="shared" si="2"/>
        <v>OK</v>
      </c>
      <c r="I123" s="2" t="e">
        <f t="array" aca="1" ref="I123" ca="1">_xludf.XLOOKUP(G123,Label!$A$2:$A$309, Label!$B$2:$B$309)</f>
        <v>#NAME?</v>
      </c>
      <c r="J123" s="2" t="e">
        <f t="array" aca="1" ref="J123" ca="1">_xludf.XLOOKUP(G123,Label!$A$2:$A$309, Label!$C$2:$C$309)</f>
        <v>#NAME?</v>
      </c>
    </row>
    <row r="124" spans="1:10" ht="13">
      <c r="A124" s="4" t="s">
        <v>124</v>
      </c>
      <c r="B124" s="2" t="str">
        <f t="shared" si="0"/>
        <v>OK</v>
      </c>
      <c r="C124" s="5" t="s">
        <v>155</v>
      </c>
      <c r="E124" s="2" t="str">
        <f t="shared" si="1"/>
        <v>OK</v>
      </c>
      <c r="G124" s="5" t="s">
        <v>155</v>
      </c>
      <c r="H124" s="2" t="str">
        <f t="shared" si="2"/>
        <v>OK</v>
      </c>
      <c r="I124" s="2" t="e">
        <f t="array" aca="1" ref="I124" ca="1">_xludf.XLOOKUP(G124,Label!$A$2:$A$309, Label!$B$2:$B$309)</f>
        <v>#NAME?</v>
      </c>
      <c r="J124" s="2" t="e">
        <f t="array" aca="1" ref="J124" ca="1">_xludf.XLOOKUP(G124,Label!$A$2:$A$309, Label!$C$2:$C$309)</f>
        <v>#NAME?</v>
      </c>
    </row>
    <row r="125" spans="1:10" ht="13">
      <c r="A125" s="4" t="s">
        <v>125</v>
      </c>
      <c r="B125" s="2" t="str">
        <f t="shared" si="0"/>
        <v>OK</v>
      </c>
      <c r="C125" s="5" t="s">
        <v>156</v>
      </c>
      <c r="E125" s="2" t="str">
        <f t="shared" si="1"/>
        <v>OK</v>
      </c>
      <c r="G125" s="5" t="s">
        <v>156</v>
      </c>
      <c r="H125" s="2" t="str">
        <f t="shared" si="2"/>
        <v>OK</v>
      </c>
      <c r="I125" s="2" t="e">
        <f t="array" aca="1" ref="I125" ca="1">_xludf.XLOOKUP(G125,Label!$A$2:$A$309, Label!$B$2:$B$309)</f>
        <v>#NAME?</v>
      </c>
      <c r="J125" s="2" t="e">
        <f t="array" aca="1" ref="J125" ca="1">_xludf.XLOOKUP(G125,Label!$A$2:$A$309, Label!$C$2:$C$309)</f>
        <v>#NAME?</v>
      </c>
    </row>
    <row r="126" spans="1:10" ht="13">
      <c r="A126" s="4" t="s">
        <v>126</v>
      </c>
      <c r="B126" s="2" t="str">
        <f t="shared" si="0"/>
        <v>OK</v>
      </c>
      <c r="C126" s="5" t="s">
        <v>157</v>
      </c>
      <c r="E126" s="2" t="str">
        <f t="shared" si="1"/>
        <v>OK</v>
      </c>
      <c r="G126" s="5" t="s">
        <v>157</v>
      </c>
      <c r="H126" s="2" t="str">
        <f t="shared" si="2"/>
        <v>OK</v>
      </c>
      <c r="I126" s="2" t="e">
        <f t="array" aca="1" ref="I126" ca="1">_xludf.XLOOKUP(G126,Label!$A$2:$A$309, Label!$B$2:$B$309)</f>
        <v>#NAME?</v>
      </c>
      <c r="J126" s="2" t="e">
        <f t="array" aca="1" ref="J126" ca="1">_xludf.XLOOKUP(G126,Label!$A$2:$A$309, Label!$C$2:$C$309)</f>
        <v>#NAME?</v>
      </c>
    </row>
    <row r="127" spans="1:10" ht="13">
      <c r="A127" s="4" t="s">
        <v>127</v>
      </c>
      <c r="B127" s="2" t="str">
        <f t="shared" si="0"/>
        <v>OK</v>
      </c>
      <c r="C127" s="5" t="s">
        <v>158</v>
      </c>
      <c r="E127" s="2" t="str">
        <f t="shared" si="1"/>
        <v>OK</v>
      </c>
      <c r="G127" s="5" t="s">
        <v>158</v>
      </c>
      <c r="H127" s="2" t="str">
        <f t="shared" si="2"/>
        <v>OK</v>
      </c>
      <c r="I127" s="2" t="e">
        <f t="array" aca="1" ref="I127" ca="1">_xludf.XLOOKUP(G127,Label!$A$2:$A$309, Label!$B$2:$B$309)</f>
        <v>#NAME?</v>
      </c>
      <c r="J127" s="2" t="e">
        <f t="array" aca="1" ref="J127" ca="1">_xludf.XLOOKUP(G127,Label!$A$2:$A$309, Label!$C$2:$C$309)</f>
        <v>#NAME?</v>
      </c>
    </row>
    <row r="128" spans="1:10" ht="13">
      <c r="A128" s="4" t="s">
        <v>128</v>
      </c>
      <c r="B128" s="2" t="str">
        <f t="shared" si="0"/>
        <v>OK</v>
      </c>
      <c r="C128" s="5" t="s">
        <v>159</v>
      </c>
      <c r="E128" s="2" t="str">
        <f t="shared" si="1"/>
        <v>OK</v>
      </c>
      <c r="G128" s="5" t="s">
        <v>159</v>
      </c>
      <c r="H128" s="2" t="str">
        <f t="shared" si="2"/>
        <v>OK</v>
      </c>
      <c r="I128" s="2" t="e">
        <f t="array" aca="1" ref="I128" ca="1">_xludf.XLOOKUP(G128,Label!$A$2:$A$309, Label!$B$2:$B$309)</f>
        <v>#NAME?</v>
      </c>
      <c r="J128" s="2" t="e">
        <f t="array" aca="1" ref="J128" ca="1">_xludf.XLOOKUP(G128,Label!$A$2:$A$309, Label!$C$2:$C$309)</f>
        <v>#NAME?</v>
      </c>
    </row>
    <row r="129" spans="1:10" ht="13">
      <c r="A129" s="4" t="s">
        <v>129</v>
      </c>
      <c r="B129" s="2" t="str">
        <f t="shared" si="0"/>
        <v>OK</v>
      </c>
      <c r="C129" s="5" t="s">
        <v>161</v>
      </c>
      <c r="E129" s="2" t="str">
        <f t="shared" si="1"/>
        <v>OK</v>
      </c>
      <c r="G129" s="5" t="s">
        <v>161</v>
      </c>
      <c r="H129" s="2" t="str">
        <f t="shared" si="2"/>
        <v>OK</v>
      </c>
      <c r="I129" s="2" t="e">
        <f t="array" aca="1" ref="I129" ca="1">_xludf.XLOOKUP(G129,Label!$A$2:$A$309, Label!$B$2:$B$309)</f>
        <v>#NAME?</v>
      </c>
      <c r="J129" s="2" t="e">
        <f t="array" aca="1" ref="J129" ca="1">_xludf.XLOOKUP(G129,Label!$A$2:$A$309, Label!$C$2:$C$309)</f>
        <v>#NAME?</v>
      </c>
    </row>
    <row r="130" spans="1:10" ht="13">
      <c r="A130" s="4" t="s">
        <v>131</v>
      </c>
      <c r="B130" s="2" t="str">
        <f t="shared" si="0"/>
        <v>OK</v>
      </c>
      <c r="C130" s="5" t="s">
        <v>162</v>
      </c>
      <c r="E130" s="2" t="str">
        <f t="shared" si="1"/>
        <v>OK</v>
      </c>
      <c r="G130" s="5" t="s">
        <v>162</v>
      </c>
      <c r="H130" s="2" t="str">
        <f t="shared" si="2"/>
        <v>OK</v>
      </c>
      <c r="I130" s="2" t="e">
        <f t="array" aca="1" ref="I130" ca="1">_xludf.XLOOKUP(G130,Label!$A$2:$A$309, Label!$B$2:$B$309)</f>
        <v>#NAME?</v>
      </c>
      <c r="J130" s="2" t="e">
        <f t="array" aca="1" ref="J130" ca="1">_xludf.XLOOKUP(G130,Label!$A$2:$A$309, Label!$C$2:$C$309)</f>
        <v>#NAME?</v>
      </c>
    </row>
    <row r="131" spans="1:10" ht="13">
      <c r="A131" s="4" t="s">
        <v>132</v>
      </c>
      <c r="B131" s="2" t="str">
        <f t="shared" si="0"/>
        <v>OK</v>
      </c>
      <c r="C131" s="5" t="s">
        <v>163</v>
      </c>
      <c r="E131" s="2" t="str">
        <f t="shared" si="1"/>
        <v>OK</v>
      </c>
      <c r="G131" s="5" t="s">
        <v>163</v>
      </c>
      <c r="H131" s="2" t="str">
        <f t="shared" si="2"/>
        <v>OK</v>
      </c>
      <c r="I131" s="2" t="e">
        <f t="array" aca="1" ref="I131" ca="1">_xludf.XLOOKUP(G131,Label!$A$2:$A$309, Label!$B$2:$B$309)</f>
        <v>#NAME?</v>
      </c>
      <c r="J131" s="2" t="e">
        <f t="array" aca="1" ref="J131" ca="1">_xludf.XLOOKUP(G131,Label!$A$2:$A$309, Label!$C$2:$C$309)</f>
        <v>#NAME?</v>
      </c>
    </row>
    <row r="132" spans="1:10" ht="13">
      <c r="A132" s="4" t="s">
        <v>133</v>
      </c>
      <c r="B132" s="2" t="str">
        <f t="shared" si="0"/>
        <v>OK</v>
      </c>
      <c r="C132" s="5" t="s">
        <v>164</v>
      </c>
      <c r="E132" s="2" t="str">
        <f t="shared" si="1"/>
        <v>OK</v>
      </c>
      <c r="G132" s="5" t="s">
        <v>164</v>
      </c>
      <c r="H132" s="2" t="str">
        <f t="shared" si="2"/>
        <v>OK</v>
      </c>
      <c r="I132" s="2" t="e">
        <f t="array" aca="1" ref="I132" ca="1">_xludf.XLOOKUP(G132,Label!$A$2:$A$309, Label!$B$2:$B$309)</f>
        <v>#NAME?</v>
      </c>
      <c r="J132" s="2" t="e">
        <f t="array" aca="1" ref="J132" ca="1">_xludf.XLOOKUP(G132,Label!$A$2:$A$309, Label!$C$2:$C$309)</f>
        <v>#NAME?</v>
      </c>
    </row>
    <row r="133" spans="1:10" ht="13">
      <c r="A133" s="4" t="s">
        <v>135</v>
      </c>
      <c r="B133" s="2" t="str">
        <f t="shared" si="0"/>
        <v>OK</v>
      </c>
      <c r="C133" s="5" t="s">
        <v>165</v>
      </c>
      <c r="E133" s="2" t="str">
        <f t="shared" si="1"/>
        <v>OK</v>
      </c>
      <c r="G133" s="5" t="s">
        <v>165</v>
      </c>
      <c r="H133" s="2" t="str">
        <f t="shared" si="2"/>
        <v>OK</v>
      </c>
      <c r="I133" s="2" t="e">
        <f t="array" aca="1" ref="I133" ca="1">_xludf.XLOOKUP(G133,Label!$A$2:$A$309, Label!$B$2:$B$309)</f>
        <v>#NAME?</v>
      </c>
      <c r="J133" s="2" t="e">
        <f t="array" aca="1" ref="J133" ca="1">_xludf.XLOOKUP(G133,Label!$A$2:$A$309, Label!$C$2:$C$309)</f>
        <v>#NAME?</v>
      </c>
    </row>
    <row r="134" spans="1:10" ht="13">
      <c r="A134" s="4" t="s">
        <v>136</v>
      </c>
      <c r="B134" s="2" t="str">
        <f t="shared" si="0"/>
        <v>OK</v>
      </c>
      <c r="C134" s="5" t="s">
        <v>166</v>
      </c>
      <c r="E134" s="2" t="str">
        <f t="shared" si="1"/>
        <v>OK</v>
      </c>
      <c r="G134" s="5" t="s">
        <v>166</v>
      </c>
      <c r="H134" s="2" t="str">
        <f t="shared" si="2"/>
        <v>OK</v>
      </c>
      <c r="I134" s="2" t="e">
        <f t="array" aca="1" ref="I134" ca="1">_xludf.XLOOKUP(G134,Label!$A$2:$A$309, Label!$B$2:$B$309)</f>
        <v>#NAME?</v>
      </c>
      <c r="J134" s="2" t="e">
        <f t="array" aca="1" ref="J134" ca="1">_xludf.XLOOKUP(G134,Label!$A$2:$A$309, Label!$C$2:$C$309)</f>
        <v>#NAME?</v>
      </c>
    </row>
    <row r="135" spans="1:10" ht="13">
      <c r="A135" s="4" t="s">
        <v>137</v>
      </c>
      <c r="B135" s="2" t="str">
        <f t="shared" si="0"/>
        <v>OK</v>
      </c>
      <c r="C135" s="5" t="s">
        <v>167</v>
      </c>
      <c r="E135" s="2" t="str">
        <f t="shared" si="1"/>
        <v>OK</v>
      </c>
      <c r="G135" s="5" t="s">
        <v>167</v>
      </c>
      <c r="H135" s="2" t="str">
        <f t="shared" si="2"/>
        <v>OK</v>
      </c>
      <c r="I135" s="2" t="e">
        <f t="array" aca="1" ref="I135" ca="1">_xludf.XLOOKUP(G135,Label!$A$2:$A$309, Label!$B$2:$B$309)</f>
        <v>#NAME?</v>
      </c>
      <c r="J135" s="2" t="e">
        <f t="array" aca="1" ref="J135" ca="1">_xludf.XLOOKUP(G135,Label!$A$2:$A$309, Label!$C$2:$C$309)</f>
        <v>#NAME?</v>
      </c>
    </row>
    <row r="136" spans="1:10" ht="13">
      <c r="A136" s="4" t="s">
        <v>138</v>
      </c>
      <c r="B136" s="2" t="str">
        <f t="shared" si="0"/>
        <v>OK</v>
      </c>
      <c r="C136" s="5" t="s">
        <v>168</v>
      </c>
      <c r="E136" s="2" t="str">
        <f t="shared" si="1"/>
        <v>OK</v>
      </c>
      <c r="G136" s="5" t="s">
        <v>168</v>
      </c>
      <c r="H136" s="2" t="str">
        <f t="shared" si="2"/>
        <v>OK</v>
      </c>
      <c r="I136" s="2" t="e">
        <f t="array" aca="1" ref="I136" ca="1">_xludf.XLOOKUP(G136,Label!$A$2:$A$309, Label!$B$2:$B$309)</f>
        <v>#NAME?</v>
      </c>
      <c r="J136" s="2" t="e">
        <f t="array" aca="1" ref="J136" ca="1">_xludf.XLOOKUP(G136,Label!$A$2:$A$309, Label!$C$2:$C$309)</f>
        <v>#NAME?</v>
      </c>
    </row>
    <row r="137" spans="1:10" ht="13">
      <c r="A137" s="4" t="s">
        <v>139</v>
      </c>
      <c r="B137" s="2" t="str">
        <f t="shared" si="0"/>
        <v>OK</v>
      </c>
      <c r="C137" s="5" t="s">
        <v>169</v>
      </c>
      <c r="E137" s="2" t="str">
        <f t="shared" si="1"/>
        <v>OK</v>
      </c>
      <c r="G137" s="5" t="s">
        <v>169</v>
      </c>
      <c r="H137" s="2" t="str">
        <f t="shared" si="2"/>
        <v>OK</v>
      </c>
      <c r="I137" s="2" t="e">
        <f t="array" aca="1" ref="I137" ca="1">_xludf.XLOOKUP(G137,Label!$A$2:$A$309, Label!$B$2:$B$309)</f>
        <v>#NAME?</v>
      </c>
      <c r="J137" s="2" t="e">
        <f t="array" aca="1" ref="J137" ca="1">_xludf.XLOOKUP(G137,Label!$A$2:$A$309, Label!$C$2:$C$309)</f>
        <v>#NAME?</v>
      </c>
    </row>
    <row r="138" spans="1:10" ht="13">
      <c r="A138" s="4" t="s">
        <v>140</v>
      </c>
      <c r="B138" s="2" t="str">
        <f t="shared" si="0"/>
        <v>OK</v>
      </c>
      <c r="C138" s="5" t="s">
        <v>170</v>
      </c>
      <c r="E138" s="2" t="str">
        <f t="shared" si="1"/>
        <v>OK</v>
      </c>
      <c r="G138" s="5" t="s">
        <v>170</v>
      </c>
      <c r="H138" s="2" t="str">
        <f t="shared" si="2"/>
        <v>OK</v>
      </c>
      <c r="I138" s="2" t="e">
        <f t="array" aca="1" ref="I138" ca="1">_xludf.XLOOKUP(G138,Label!$A$2:$A$309, Label!$B$2:$B$309)</f>
        <v>#NAME?</v>
      </c>
      <c r="J138" s="2" t="e">
        <f t="array" aca="1" ref="J138" ca="1">_xludf.XLOOKUP(G138,Label!$A$2:$A$309, Label!$C$2:$C$309)</f>
        <v>#NAME?</v>
      </c>
    </row>
    <row r="139" spans="1:10" ht="13">
      <c r="A139" s="6" t="s">
        <v>406</v>
      </c>
      <c r="B139" s="2" t="str">
        <f t="shared" si="0"/>
        <v>no</v>
      </c>
      <c r="C139" s="5" t="s">
        <v>171</v>
      </c>
      <c r="E139" s="2" t="str">
        <f t="shared" si="1"/>
        <v>OK</v>
      </c>
      <c r="G139" s="5" t="s">
        <v>171</v>
      </c>
      <c r="H139" s="2" t="str">
        <f t="shared" si="2"/>
        <v>OK</v>
      </c>
      <c r="I139" s="2" t="e">
        <f t="array" aca="1" ref="I139" ca="1">_xludf.XLOOKUP(G139,Label!$A$2:$A$309, Label!$B$2:$B$309)</f>
        <v>#NAME?</v>
      </c>
      <c r="J139" s="2" t="e">
        <f t="array" aca="1" ref="J139" ca="1">_xludf.XLOOKUP(G139,Label!$A$2:$A$309, Label!$C$2:$C$309)</f>
        <v>#NAME?</v>
      </c>
    </row>
    <row r="140" spans="1:10" ht="13">
      <c r="A140" s="4" t="s">
        <v>141</v>
      </c>
      <c r="B140" s="2" t="str">
        <f t="shared" si="0"/>
        <v>OK</v>
      </c>
      <c r="C140" s="5" t="s">
        <v>172</v>
      </c>
      <c r="E140" s="2" t="str">
        <f t="shared" si="1"/>
        <v>OK</v>
      </c>
      <c r="G140" s="5" t="s">
        <v>172</v>
      </c>
      <c r="H140" s="2" t="str">
        <f t="shared" si="2"/>
        <v>OK</v>
      </c>
      <c r="I140" s="2" t="e">
        <f t="array" aca="1" ref="I140" ca="1">_xludf.XLOOKUP(G140,Label!$A$2:$A$309, Label!$B$2:$B$309)</f>
        <v>#NAME?</v>
      </c>
      <c r="J140" s="2" t="e">
        <f t="array" aca="1" ref="J140" ca="1">_xludf.XLOOKUP(G140,Label!$A$2:$A$309, Label!$C$2:$C$309)</f>
        <v>#NAME?</v>
      </c>
    </row>
    <row r="141" spans="1:10" ht="13">
      <c r="A141" s="4" t="s">
        <v>142</v>
      </c>
      <c r="B141" s="2" t="str">
        <f t="shared" si="0"/>
        <v>OK</v>
      </c>
      <c r="C141" s="5" t="s">
        <v>173</v>
      </c>
      <c r="E141" s="2" t="str">
        <f t="shared" si="1"/>
        <v>OK</v>
      </c>
      <c r="G141" s="5" t="s">
        <v>173</v>
      </c>
      <c r="H141" s="2" t="str">
        <f t="shared" si="2"/>
        <v>OK</v>
      </c>
      <c r="I141" s="2" t="e">
        <f t="array" aca="1" ref="I141" ca="1">_xludf.XLOOKUP(G141,Label!$A$2:$A$309, Label!$B$2:$B$309)</f>
        <v>#NAME?</v>
      </c>
      <c r="J141" s="2" t="e">
        <f t="array" aca="1" ref="J141" ca="1">_xludf.XLOOKUP(G141,Label!$A$2:$A$309, Label!$C$2:$C$309)</f>
        <v>#NAME?</v>
      </c>
    </row>
    <row r="142" spans="1:10" ht="13">
      <c r="A142" s="4" t="s">
        <v>143</v>
      </c>
      <c r="B142" s="2" t="str">
        <f t="shared" si="0"/>
        <v>OK</v>
      </c>
      <c r="C142" s="5" t="s">
        <v>174</v>
      </c>
      <c r="E142" s="2" t="str">
        <f t="shared" si="1"/>
        <v>OK</v>
      </c>
      <c r="G142" s="5" t="s">
        <v>174</v>
      </c>
      <c r="H142" s="2" t="str">
        <f t="shared" si="2"/>
        <v>OK</v>
      </c>
      <c r="I142" s="2" t="e">
        <f t="array" aca="1" ref="I142" ca="1">_xludf.XLOOKUP(G142,Label!$A$2:$A$309, Label!$B$2:$B$309)</f>
        <v>#NAME?</v>
      </c>
      <c r="J142" s="2" t="e">
        <f t="array" aca="1" ref="J142" ca="1">_xludf.XLOOKUP(G142,Label!$A$2:$A$309, Label!$C$2:$C$309)</f>
        <v>#NAME?</v>
      </c>
    </row>
    <row r="143" spans="1:10" ht="13">
      <c r="A143" s="4" t="s">
        <v>144</v>
      </c>
      <c r="B143" s="2" t="str">
        <f t="shared" si="0"/>
        <v>OK</v>
      </c>
      <c r="C143" s="5" t="s">
        <v>175</v>
      </c>
      <c r="E143" s="2" t="str">
        <f t="shared" si="1"/>
        <v>OK</v>
      </c>
      <c r="G143" s="5" t="s">
        <v>175</v>
      </c>
      <c r="H143" s="2" t="str">
        <f t="shared" si="2"/>
        <v>OK</v>
      </c>
      <c r="I143" s="2" t="e">
        <f t="array" aca="1" ref="I143" ca="1">_xludf.XLOOKUP(G143,Label!$A$2:$A$309, Label!$B$2:$B$309)</f>
        <v>#NAME?</v>
      </c>
      <c r="J143" s="2" t="e">
        <f t="array" aca="1" ref="J143" ca="1">_xludf.XLOOKUP(G143,Label!$A$2:$A$309, Label!$C$2:$C$309)</f>
        <v>#NAME?</v>
      </c>
    </row>
    <row r="144" spans="1:10" ht="13">
      <c r="A144" s="4" t="s">
        <v>145</v>
      </c>
      <c r="B144" s="2" t="str">
        <f t="shared" si="0"/>
        <v>OK</v>
      </c>
      <c r="C144" s="5" t="s">
        <v>176</v>
      </c>
      <c r="E144" s="2" t="str">
        <f t="shared" si="1"/>
        <v>OK</v>
      </c>
      <c r="G144" s="5" t="s">
        <v>176</v>
      </c>
      <c r="H144" s="2" t="str">
        <f t="shared" si="2"/>
        <v>OK</v>
      </c>
      <c r="I144" s="2" t="e">
        <f t="array" aca="1" ref="I144" ca="1">_xludf.XLOOKUP(G144,Label!$A$2:$A$309, Label!$B$2:$B$309)</f>
        <v>#NAME?</v>
      </c>
      <c r="J144" s="2" t="e">
        <f t="array" aca="1" ref="J144" ca="1">_xludf.XLOOKUP(G144,Label!$A$2:$A$309, Label!$C$2:$C$309)</f>
        <v>#NAME?</v>
      </c>
    </row>
    <row r="145" spans="1:10" ht="13">
      <c r="A145" s="4" t="s">
        <v>146</v>
      </c>
      <c r="B145" s="2" t="str">
        <f t="shared" si="0"/>
        <v>OK</v>
      </c>
      <c r="C145" s="5" t="s">
        <v>177</v>
      </c>
      <c r="E145" s="2" t="str">
        <f t="shared" si="1"/>
        <v>OK</v>
      </c>
      <c r="G145" s="5" t="s">
        <v>177</v>
      </c>
      <c r="H145" s="2" t="str">
        <f t="shared" si="2"/>
        <v>OK</v>
      </c>
      <c r="I145" s="2" t="e">
        <f t="array" aca="1" ref="I145" ca="1">_xludf.XLOOKUP(G145,Label!$A$2:$A$309, Label!$B$2:$B$309)</f>
        <v>#NAME?</v>
      </c>
      <c r="J145" s="2" t="e">
        <f t="array" aca="1" ref="J145" ca="1">_xludf.XLOOKUP(G145,Label!$A$2:$A$309, Label!$C$2:$C$309)</f>
        <v>#NAME?</v>
      </c>
    </row>
    <row r="146" spans="1:10" ht="13">
      <c r="A146" s="4" t="s">
        <v>147</v>
      </c>
      <c r="B146" s="2" t="str">
        <f t="shared" si="0"/>
        <v>OK</v>
      </c>
      <c r="C146" s="5" t="s">
        <v>178</v>
      </c>
      <c r="E146" s="2" t="str">
        <f t="shared" si="1"/>
        <v>OK</v>
      </c>
      <c r="G146" s="5" t="s">
        <v>178</v>
      </c>
      <c r="H146" s="2" t="str">
        <f t="shared" si="2"/>
        <v>OK</v>
      </c>
      <c r="I146" s="2" t="e">
        <f t="array" aca="1" ref="I146" ca="1">_xludf.XLOOKUP(G146,Label!$A$2:$A$309, Label!$B$2:$B$309)</f>
        <v>#NAME?</v>
      </c>
      <c r="J146" s="2" t="e">
        <f t="array" aca="1" ref="J146" ca="1">_xludf.XLOOKUP(G146,Label!$A$2:$A$309, Label!$C$2:$C$309)</f>
        <v>#NAME?</v>
      </c>
    </row>
    <row r="147" spans="1:10" ht="13">
      <c r="A147" s="4" t="s">
        <v>149</v>
      </c>
      <c r="B147" s="2" t="str">
        <f t="shared" si="0"/>
        <v>OK</v>
      </c>
      <c r="C147" s="5" t="s">
        <v>180</v>
      </c>
      <c r="E147" s="2" t="str">
        <f t="shared" si="1"/>
        <v>OK</v>
      </c>
      <c r="G147" s="5" t="s">
        <v>180</v>
      </c>
      <c r="H147" s="2" t="str">
        <f t="shared" si="2"/>
        <v>OK</v>
      </c>
      <c r="I147" s="2" t="e">
        <f t="array" aca="1" ref="I147" ca="1">_xludf.XLOOKUP(G147,Label!$A$2:$A$309, Label!$B$2:$B$309)</f>
        <v>#NAME?</v>
      </c>
      <c r="J147" s="2" t="e">
        <f t="array" aca="1" ref="J147" ca="1">_xludf.XLOOKUP(G147,Label!$A$2:$A$309, Label!$C$2:$C$309)</f>
        <v>#NAME?</v>
      </c>
    </row>
    <row r="148" spans="1:10" ht="13">
      <c r="A148" s="4" t="s">
        <v>150</v>
      </c>
      <c r="B148" s="2" t="str">
        <f t="shared" si="0"/>
        <v>OK</v>
      </c>
      <c r="C148" s="5" t="s">
        <v>181</v>
      </c>
      <c r="E148" s="2" t="str">
        <f t="shared" si="1"/>
        <v>OK</v>
      </c>
      <c r="G148" s="5" t="s">
        <v>181</v>
      </c>
      <c r="H148" s="2" t="str">
        <f t="shared" si="2"/>
        <v>OK</v>
      </c>
      <c r="I148" s="2" t="e">
        <f t="array" aca="1" ref="I148" ca="1">_xludf.XLOOKUP(G148,Label!$A$2:$A$309, Label!$B$2:$B$309)</f>
        <v>#NAME?</v>
      </c>
      <c r="J148" s="2" t="e">
        <f t="array" aca="1" ref="J148" ca="1">_xludf.XLOOKUP(G148,Label!$A$2:$A$309, Label!$C$2:$C$309)</f>
        <v>#NAME?</v>
      </c>
    </row>
    <row r="149" spans="1:10" ht="13">
      <c r="A149" s="4" t="s">
        <v>151</v>
      </c>
      <c r="B149" s="2" t="str">
        <f t="shared" si="0"/>
        <v>OK</v>
      </c>
      <c r="C149" s="5" t="s">
        <v>182</v>
      </c>
      <c r="E149" s="2" t="str">
        <f t="shared" si="1"/>
        <v>OK</v>
      </c>
      <c r="G149" s="5" t="s">
        <v>182</v>
      </c>
      <c r="H149" s="2" t="str">
        <f t="shared" si="2"/>
        <v>OK</v>
      </c>
      <c r="I149" s="2" t="e">
        <f t="array" aca="1" ref="I149" ca="1">_xludf.XLOOKUP(G149,Label!$A$2:$A$309, Label!$B$2:$B$309)</f>
        <v>#NAME?</v>
      </c>
      <c r="J149" s="2" t="e">
        <f t="array" aca="1" ref="J149" ca="1">_xludf.XLOOKUP(G149,Label!$A$2:$A$309, Label!$C$2:$C$309)</f>
        <v>#NAME?</v>
      </c>
    </row>
    <row r="150" spans="1:10" ht="13">
      <c r="A150" s="4" t="s">
        <v>152</v>
      </c>
      <c r="B150" s="2" t="str">
        <f t="shared" si="0"/>
        <v>OK</v>
      </c>
      <c r="C150" s="5" t="s">
        <v>183</v>
      </c>
      <c r="E150" s="2" t="str">
        <f t="shared" si="1"/>
        <v>OK</v>
      </c>
      <c r="G150" s="5" t="s">
        <v>183</v>
      </c>
      <c r="H150" s="2" t="str">
        <f t="shared" si="2"/>
        <v>OK</v>
      </c>
      <c r="I150" s="2" t="e">
        <f t="array" aca="1" ref="I150" ca="1">_xludf.XLOOKUP(G150,Label!$A$2:$A$309, Label!$B$2:$B$309)</f>
        <v>#NAME?</v>
      </c>
      <c r="J150" s="2" t="e">
        <f t="array" aca="1" ref="J150" ca="1">_xludf.XLOOKUP(G150,Label!$A$2:$A$309, Label!$C$2:$C$309)</f>
        <v>#NAME?</v>
      </c>
    </row>
    <row r="151" spans="1:10" ht="13">
      <c r="A151" s="4" t="s">
        <v>154</v>
      </c>
      <c r="B151" s="2" t="str">
        <f t="shared" si="0"/>
        <v>OK</v>
      </c>
      <c r="C151" s="5" t="s">
        <v>184</v>
      </c>
      <c r="E151" s="2" t="str">
        <f t="shared" si="1"/>
        <v>OK</v>
      </c>
      <c r="G151" s="5" t="s">
        <v>184</v>
      </c>
      <c r="H151" s="2" t="str">
        <f t="shared" si="2"/>
        <v>OK</v>
      </c>
      <c r="I151" s="2" t="e">
        <f t="array" aca="1" ref="I151" ca="1">_xludf.XLOOKUP(G151,Label!$A$2:$A$309, Label!$B$2:$B$309)</f>
        <v>#NAME?</v>
      </c>
      <c r="J151" s="2" t="e">
        <f t="array" aca="1" ref="J151" ca="1">_xludf.XLOOKUP(G151,Label!$A$2:$A$309, Label!$C$2:$C$309)</f>
        <v>#NAME?</v>
      </c>
    </row>
    <row r="152" spans="1:10" ht="13">
      <c r="A152" s="4" t="s">
        <v>155</v>
      </c>
      <c r="B152" s="2" t="str">
        <f t="shared" si="0"/>
        <v>OK</v>
      </c>
      <c r="C152" s="5" t="s">
        <v>185</v>
      </c>
      <c r="E152" s="2" t="str">
        <f t="shared" si="1"/>
        <v>OK</v>
      </c>
      <c r="G152" s="5" t="s">
        <v>185</v>
      </c>
      <c r="H152" s="2" t="str">
        <f t="shared" si="2"/>
        <v>OK</v>
      </c>
      <c r="I152" s="2" t="e">
        <f t="array" aca="1" ref="I152" ca="1">_xludf.XLOOKUP(G152,Label!$A$2:$A$309, Label!$B$2:$B$309)</f>
        <v>#NAME?</v>
      </c>
      <c r="J152" s="2" t="e">
        <f t="array" aca="1" ref="J152" ca="1">_xludf.XLOOKUP(G152,Label!$A$2:$A$309, Label!$C$2:$C$309)</f>
        <v>#NAME?</v>
      </c>
    </row>
    <row r="153" spans="1:10" ht="13">
      <c r="A153" s="4" t="s">
        <v>156</v>
      </c>
      <c r="B153" s="2" t="str">
        <f t="shared" si="0"/>
        <v>OK</v>
      </c>
      <c r="C153" s="5" t="s">
        <v>186</v>
      </c>
      <c r="E153" s="2" t="str">
        <f t="shared" si="1"/>
        <v>OK</v>
      </c>
      <c r="G153" s="5" t="s">
        <v>186</v>
      </c>
      <c r="H153" s="2" t="str">
        <f t="shared" si="2"/>
        <v>OK</v>
      </c>
      <c r="I153" s="2" t="e">
        <f t="array" aca="1" ref="I153" ca="1">_xludf.XLOOKUP(G153,Label!$A$2:$A$309, Label!$B$2:$B$309)</f>
        <v>#NAME?</v>
      </c>
      <c r="J153" s="2" t="e">
        <f t="array" aca="1" ref="J153" ca="1">_xludf.XLOOKUP(G153,Label!$A$2:$A$309, Label!$C$2:$C$309)</f>
        <v>#NAME?</v>
      </c>
    </row>
    <row r="154" spans="1:10" ht="13">
      <c r="A154" s="4" t="s">
        <v>157</v>
      </c>
      <c r="B154" s="2" t="str">
        <f t="shared" si="0"/>
        <v>OK</v>
      </c>
      <c r="C154" s="5" t="s">
        <v>187</v>
      </c>
      <c r="E154" s="2" t="str">
        <f t="shared" si="1"/>
        <v>OK</v>
      </c>
      <c r="G154" s="5" t="s">
        <v>187</v>
      </c>
      <c r="H154" s="2" t="str">
        <f t="shared" si="2"/>
        <v>OK</v>
      </c>
      <c r="I154" s="2" t="e">
        <f t="array" aca="1" ref="I154" ca="1">_xludf.XLOOKUP(G154,Label!$A$2:$A$309, Label!$B$2:$B$309)</f>
        <v>#NAME?</v>
      </c>
      <c r="J154" s="2" t="e">
        <f t="array" aca="1" ref="J154" ca="1">_xludf.XLOOKUP(G154,Label!$A$2:$A$309, Label!$C$2:$C$309)</f>
        <v>#NAME?</v>
      </c>
    </row>
    <row r="155" spans="1:10" ht="13">
      <c r="A155" s="4" t="s">
        <v>158</v>
      </c>
      <c r="B155" s="2" t="str">
        <f t="shared" si="0"/>
        <v>OK</v>
      </c>
      <c r="C155" s="5" t="s">
        <v>188</v>
      </c>
      <c r="E155" s="2" t="str">
        <f t="shared" si="1"/>
        <v>OK</v>
      </c>
      <c r="G155" s="5" t="s">
        <v>188</v>
      </c>
      <c r="H155" s="2" t="str">
        <f t="shared" si="2"/>
        <v>OK</v>
      </c>
      <c r="I155" s="2" t="e">
        <f t="array" aca="1" ref="I155" ca="1">_xludf.XLOOKUP(G155,Label!$A$2:$A$309, Label!$B$2:$B$309)</f>
        <v>#NAME?</v>
      </c>
      <c r="J155" s="2" t="e">
        <f t="array" aca="1" ref="J155" ca="1">_xludf.XLOOKUP(G155,Label!$A$2:$A$309, Label!$C$2:$C$309)</f>
        <v>#NAME?</v>
      </c>
    </row>
    <row r="156" spans="1:10" ht="13">
      <c r="A156" s="4" t="s">
        <v>159</v>
      </c>
      <c r="B156" s="2" t="str">
        <f t="shared" si="0"/>
        <v>OK</v>
      </c>
      <c r="C156" s="5" t="s">
        <v>189</v>
      </c>
      <c r="E156" s="2" t="str">
        <f t="shared" si="1"/>
        <v>OK</v>
      </c>
      <c r="G156" s="5" t="s">
        <v>189</v>
      </c>
      <c r="H156" s="2" t="str">
        <f t="shared" si="2"/>
        <v>OK</v>
      </c>
      <c r="I156" s="2" t="e">
        <f t="array" aca="1" ref="I156" ca="1">_xludf.XLOOKUP(G156,Label!$A$2:$A$309, Label!$B$2:$B$309)</f>
        <v>#NAME?</v>
      </c>
      <c r="J156" s="2" t="e">
        <f t="array" aca="1" ref="J156" ca="1">_xludf.XLOOKUP(G156,Label!$A$2:$A$309, Label!$C$2:$C$309)</f>
        <v>#NAME?</v>
      </c>
    </row>
    <row r="157" spans="1:10" ht="13">
      <c r="A157" s="4" t="s">
        <v>161</v>
      </c>
      <c r="B157" s="2" t="str">
        <f t="shared" si="0"/>
        <v>OK</v>
      </c>
      <c r="C157" s="5" t="s">
        <v>190</v>
      </c>
      <c r="E157" s="2" t="str">
        <f t="shared" si="1"/>
        <v>OK</v>
      </c>
      <c r="G157" s="5" t="s">
        <v>190</v>
      </c>
      <c r="H157" s="2" t="str">
        <f t="shared" si="2"/>
        <v>OK</v>
      </c>
      <c r="I157" s="2" t="e">
        <f t="array" aca="1" ref="I157" ca="1">_xludf.XLOOKUP(G157,Label!$A$2:$A$309, Label!$B$2:$B$309)</f>
        <v>#NAME?</v>
      </c>
      <c r="J157" s="2" t="e">
        <f t="array" aca="1" ref="J157" ca="1">_xludf.XLOOKUP(G157,Label!$A$2:$A$309, Label!$C$2:$C$309)</f>
        <v>#NAME?</v>
      </c>
    </row>
    <row r="158" spans="1:10" ht="13">
      <c r="A158" s="4" t="s">
        <v>162</v>
      </c>
      <c r="B158" s="2" t="str">
        <f t="shared" si="0"/>
        <v>OK</v>
      </c>
      <c r="C158" s="5" t="s">
        <v>191</v>
      </c>
      <c r="E158" s="2" t="str">
        <f t="shared" si="1"/>
        <v>OK</v>
      </c>
      <c r="G158" s="5" t="s">
        <v>191</v>
      </c>
      <c r="H158" s="2" t="str">
        <f t="shared" si="2"/>
        <v>OK</v>
      </c>
      <c r="I158" s="2" t="e">
        <f t="array" aca="1" ref="I158" ca="1">_xludf.XLOOKUP(G158,Label!$A$2:$A$309, Label!$B$2:$B$309)</f>
        <v>#NAME?</v>
      </c>
      <c r="J158" s="2" t="e">
        <f t="array" aca="1" ref="J158" ca="1">_xludf.XLOOKUP(G158,Label!$A$2:$A$309, Label!$C$2:$C$309)</f>
        <v>#NAME?</v>
      </c>
    </row>
    <row r="159" spans="1:10" ht="13">
      <c r="A159" s="4" t="s">
        <v>163</v>
      </c>
      <c r="B159" s="2" t="str">
        <f t="shared" si="0"/>
        <v>OK</v>
      </c>
      <c r="C159" s="5" t="s">
        <v>192</v>
      </c>
      <c r="E159" s="2" t="str">
        <f t="shared" si="1"/>
        <v>OK</v>
      </c>
      <c r="G159" s="5" t="s">
        <v>192</v>
      </c>
      <c r="H159" s="2" t="str">
        <f t="shared" si="2"/>
        <v>OK</v>
      </c>
      <c r="I159" s="2" t="e">
        <f t="array" aca="1" ref="I159" ca="1">_xludf.XLOOKUP(G159,Label!$A$2:$A$309, Label!$B$2:$B$309)</f>
        <v>#NAME?</v>
      </c>
      <c r="J159" s="2" t="e">
        <f t="array" aca="1" ref="J159" ca="1">_xludf.XLOOKUP(G159,Label!$A$2:$A$309, Label!$C$2:$C$309)</f>
        <v>#NAME?</v>
      </c>
    </row>
    <row r="160" spans="1:10" ht="13">
      <c r="A160" s="4" t="s">
        <v>164</v>
      </c>
      <c r="B160" s="2" t="str">
        <f t="shared" si="0"/>
        <v>OK</v>
      </c>
      <c r="C160" s="5" t="s">
        <v>193</v>
      </c>
      <c r="E160" s="2" t="str">
        <f t="shared" si="1"/>
        <v>OK</v>
      </c>
      <c r="G160" s="5" t="s">
        <v>193</v>
      </c>
      <c r="H160" s="2" t="str">
        <f t="shared" si="2"/>
        <v>OK</v>
      </c>
      <c r="I160" s="2" t="e">
        <f t="array" aca="1" ref="I160" ca="1">_xludf.XLOOKUP(G160,Label!$A$2:$A$309, Label!$B$2:$B$309)</f>
        <v>#NAME?</v>
      </c>
      <c r="J160" s="2" t="e">
        <f t="array" aca="1" ref="J160" ca="1">_xludf.XLOOKUP(G160,Label!$A$2:$A$309, Label!$C$2:$C$309)</f>
        <v>#NAME?</v>
      </c>
    </row>
    <row r="161" spans="1:10" ht="13">
      <c r="A161" s="4" t="s">
        <v>165</v>
      </c>
      <c r="B161" s="2" t="str">
        <f t="shared" si="0"/>
        <v>OK</v>
      </c>
      <c r="C161" s="5" t="s">
        <v>194</v>
      </c>
      <c r="E161" s="2" t="str">
        <f t="shared" si="1"/>
        <v>OK</v>
      </c>
      <c r="G161" s="5" t="s">
        <v>194</v>
      </c>
      <c r="H161" s="2" t="str">
        <f t="shared" si="2"/>
        <v>OK</v>
      </c>
      <c r="I161" s="2" t="e">
        <f t="array" aca="1" ref="I161" ca="1">_xludf.XLOOKUP(G161,Label!$A$2:$A$309, Label!$B$2:$B$309)</f>
        <v>#NAME?</v>
      </c>
      <c r="J161" s="2" t="e">
        <f t="array" aca="1" ref="J161" ca="1">_xludf.XLOOKUP(G161,Label!$A$2:$A$309, Label!$C$2:$C$309)</f>
        <v>#NAME?</v>
      </c>
    </row>
    <row r="162" spans="1:10" ht="13">
      <c r="A162" s="4" t="s">
        <v>166</v>
      </c>
      <c r="B162" s="2" t="str">
        <f t="shared" si="0"/>
        <v>OK</v>
      </c>
      <c r="C162" s="5" t="s">
        <v>196</v>
      </c>
      <c r="E162" s="2" t="str">
        <f t="shared" si="1"/>
        <v>OK</v>
      </c>
      <c r="G162" s="5" t="s">
        <v>196</v>
      </c>
      <c r="H162" s="2" t="str">
        <f t="shared" si="2"/>
        <v>OK</v>
      </c>
      <c r="I162" s="2" t="e">
        <f t="array" aca="1" ref="I162" ca="1">_xludf.XLOOKUP(G162,Label!$A$2:$A$309, Label!$B$2:$B$309)</f>
        <v>#NAME?</v>
      </c>
      <c r="J162" s="2" t="e">
        <f t="array" aca="1" ref="J162" ca="1">_xludf.XLOOKUP(G162,Label!$A$2:$A$309, Label!$C$2:$C$309)</f>
        <v>#NAME?</v>
      </c>
    </row>
    <row r="163" spans="1:10" ht="13">
      <c r="A163" s="4" t="s">
        <v>167</v>
      </c>
      <c r="B163" s="2" t="str">
        <f t="shared" si="0"/>
        <v>OK</v>
      </c>
      <c r="C163" s="5" t="s">
        <v>198</v>
      </c>
      <c r="E163" s="2" t="str">
        <f t="shared" si="1"/>
        <v>OK</v>
      </c>
      <c r="G163" s="5" t="s">
        <v>198</v>
      </c>
      <c r="H163" s="2" t="str">
        <f t="shared" si="2"/>
        <v>OK</v>
      </c>
      <c r="I163" s="2" t="e">
        <f t="array" aca="1" ref="I163" ca="1">_xludf.XLOOKUP(G163,Label!$A$2:$A$309, Label!$B$2:$B$309)</f>
        <v>#NAME?</v>
      </c>
      <c r="J163" s="2" t="e">
        <f t="array" aca="1" ref="J163" ca="1">_xludf.XLOOKUP(G163,Label!$A$2:$A$309, Label!$C$2:$C$309)</f>
        <v>#NAME?</v>
      </c>
    </row>
    <row r="164" spans="1:10" ht="13">
      <c r="A164" s="4" t="s">
        <v>168</v>
      </c>
      <c r="B164" s="2" t="str">
        <f t="shared" si="0"/>
        <v>OK</v>
      </c>
      <c r="C164" s="5" t="s">
        <v>199</v>
      </c>
      <c r="E164" s="2" t="str">
        <f t="shared" si="1"/>
        <v>OK</v>
      </c>
      <c r="G164" s="5" t="s">
        <v>199</v>
      </c>
      <c r="H164" s="2" t="str">
        <f t="shared" si="2"/>
        <v>OK</v>
      </c>
      <c r="I164" s="2" t="e">
        <f t="array" aca="1" ref="I164" ca="1">_xludf.XLOOKUP(G164,Label!$A$2:$A$309, Label!$B$2:$B$309)</f>
        <v>#NAME?</v>
      </c>
      <c r="J164" s="2" t="e">
        <f t="array" aca="1" ref="J164" ca="1">_xludf.XLOOKUP(G164,Label!$A$2:$A$309, Label!$C$2:$C$309)</f>
        <v>#NAME?</v>
      </c>
    </row>
    <row r="165" spans="1:10" ht="13">
      <c r="A165" s="4" t="s">
        <v>169</v>
      </c>
      <c r="B165" s="2" t="str">
        <f t="shared" si="0"/>
        <v>OK</v>
      </c>
      <c r="C165" s="5" t="s">
        <v>200</v>
      </c>
      <c r="E165" s="2" t="str">
        <f t="shared" si="1"/>
        <v>OK</v>
      </c>
      <c r="G165" s="5" t="s">
        <v>200</v>
      </c>
      <c r="H165" s="2" t="str">
        <f t="shared" si="2"/>
        <v>OK</v>
      </c>
      <c r="I165" s="2" t="e">
        <f t="array" aca="1" ref="I165" ca="1">_xludf.XLOOKUP(G165,Label!$A$2:$A$309, Label!$B$2:$B$309)</f>
        <v>#NAME?</v>
      </c>
      <c r="J165" s="2" t="e">
        <f t="array" aca="1" ref="J165" ca="1">_xludf.XLOOKUP(G165,Label!$A$2:$A$309, Label!$C$2:$C$309)</f>
        <v>#NAME?</v>
      </c>
    </row>
    <row r="166" spans="1:10" ht="13">
      <c r="A166" s="4" t="s">
        <v>170</v>
      </c>
      <c r="B166" s="2" t="str">
        <f t="shared" si="0"/>
        <v>OK</v>
      </c>
      <c r="C166" s="5" t="s">
        <v>201</v>
      </c>
      <c r="E166" s="2" t="str">
        <f t="shared" si="1"/>
        <v>OK</v>
      </c>
      <c r="G166" s="5" t="s">
        <v>201</v>
      </c>
      <c r="H166" s="2" t="str">
        <f t="shared" si="2"/>
        <v>OK</v>
      </c>
      <c r="I166" s="2" t="e">
        <f t="array" aca="1" ref="I166" ca="1">_xludf.XLOOKUP(G166,Label!$A$2:$A$309, Label!$B$2:$B$309)</f>
        <v>#NAME?</v>
      </c>
      <c r="J166" s="2" t="e">
        <f t="array" aca="1" ref="J166" ca="1">_xludf.XLOOKUP(G166,Label!$A$2:$A$309, Label!$C$2:$C$309)</f>
        <v>#NAME?</v>
      </c>
    </row>
    <row r="167" spans="1:10" ht="13">
      <c r="A167" s="4" t="s">
        <v>171</v>
      </c>
      <c r="B167" s="2" t="str">
        <f t="shared" si="0"/>
        <v>OK</v>
      </c>
      <c r="C167" s="5" t="s">
        <v>202</v>
      </c>
      <c r="E167" s="2" t="str">
        <f t="shared" si="1"/>
        <v>OK</v>
      </c>
      <c r="G167" s="5" t="s">
        <v>202</v>
      </c>
      <c r="H167" s="2" t="str">
        <f t="shared" si="2"/>
        <v>OK</v>
      </c>
      <c r="I167" s="2" t="e">
        <f t="array" aca="1" ref="I167" ca="1">_xludf.XLOOKUP(G167,Label!$A$2:$A$309, Label!$B$2:$B$309)</f>
        <v>#NAME?</v>
      </c>
      <c r="J167" s="2" t="e">
        <f t="array" aca="1" ref="J167" ca="1">_xludf.XLOOKUP(G167,Label!$A$2:$A$309, Label!$C$2:$C$309)</f>
        <v>#NAME?</v>
      </c>
    </row>
    <row r="168" spans="1:10" ht="13">
      <c r="A168" s="4" t="s">
        <v>172</v>
      </c>
      <c r="B168" s="2" t="str">
        <f t="shared" si="0"/>
        <v>OK</v>
      </c>
      <c r="C168" s="5" t="s">
        <v>203</v>
      </c>
      <c r="E168" s="2" t="str">
        <f t="shared" si="1"/>
        <v>OK</v>
      </c>
      <c r="G168" s="5" t="s">
        <v>203</v>
      </c>
      <c r="H168" s="2" t="str">
        <f t="shared" si="2"/>
        <v>OK</v>
      </c>
      <c r="I168" s="2" t="e">
        <f t="array" aca="1" ref="I168" ca="1">_xludf.XLOOKUP(G168,Label!$A$2:$A$309, Label!$B$2:$B$309)</f>
        <v>#NAME?</v>
      </c>
      <c r="J168" s="2" t="e">
        <f t="array" aca="1" ref="J168" ca="1">_xludf.XLOOKUP(G168,Label!$A$2:$A$309, Label!$C$2:$C$309)</f>
        <v>#NAME?</v>
      </c>
    </row>
    <row r="169" spans="1:10" ht="13">
      <c r="A169" s="4" t="s">
        <v>173</v>
      </c>
      <c r="B169" s="2" t="str">
        <f t="shared" si="0"/>
        <v>OK</v>
      </c>
      <c r="C169" s="5" t="s">
        <v>204</v>
      </c>
      <c r="E169" s="2" t="str">
        <f t="shared" si="1"/>
        <v>OK</v>
      </c>
      <c r="G169" s="5" t="s">
        <v>204</v>
      </c>
      <c r="H169" s="2" t="str">
        <f t="shared" si="2"/>
        <v>OK</v>
      </c>
      <c r="I169" s="2" t="e">
        <f t="array" aca="1" ref="I169" ca="1">_xludf.XLOOKUP(G169,Label!$A$2:$A$309, Label!$B$2:$B$309)</f>
        <v>#NAME?</v>
      </c>
      <c r="J169" s="2" t="e">
        <f t="array" aca="1" ref="J169" ca="1">_xludf.XLOOKUP(G169,Label!$A$2:$A$309, Label!$C$2:$C$309)</f>
        <v>#NAME?</v>
      </c>
    </row>
    <row r="170" spans="1:10" ht="13">
      <c r="A170" s="6" t="s">
        <v>407</v>
      </c>
      <c r="B170" s="2" t="str">
        <f t="shared" si="0"/>
        <v>no</v>
      </c>
      <c r="C170" s="5" t="s">
        <v>205</v>
      </c>
      <c r="E170" s="2" t="str">
        <f t="shared" si="1"/>
        <v>OK</v>
      </c>
      <c r="G170" s="5" t="s">
        <v>205</v>
      </c>
      <c r="H170" s="2" t="str">
        <f t="shared" si="2"/>
        <v>OK</v>
      </c>
      <c r="I170" s="2" t="e">
        <f t="array" aca="1" ref="I170" ca="1">_xludf.XLOOKUP(G170,Label!$A$2:$A$309, Label!$B$2:$B$309)</f>
        <v>#NAME?</v>
      </c>
      <c r="J170" s="2" t="e">
        <f t="array" aca="1" ref="J170" ca="1">_xludf.XLOOKUP(G170,Label!$A$2:$A$309, Label!$C$2:$C$309)</f>
        <v>#NAME?</v>
      </c>
    </row>
    <row r="171" spans="1:10" ht="13">
      <c r="A171" s="4" t="s">
        <v>174</v>
      </c>
      <c r="B171" s="2" t="str">
        <f t="shared" si="0"/>
        <v>OK</v>
      </c>
      <c r="C171" s="5" t="s">
        <v>206</v>
      </c>
      <c r="E171" s="2" t="str">
        <f t="shared" si="1"/>
        <v>OK</v>
      </c>
      <c r="G171" s="5" t="s">
        <v>206</v>
      </c>
      <c r="H171" s="2" t="str">
        <f t="shared" si="2"/>
        <v>OK</v>
      </c>
      <c r="I171" s="2" t="e">
        <f t="array" aca="1" ref="I171" ca="1">_xludf.XLOOKUP(G171,Label!$A$2:$A$309, Label!$B$2:$B$309)</f>
        <v>#NAME?</v>
      </c>
      <c r="J171" s="2" t="e">
        <f t="array" aca="1" ref="J171" ca="1">_xludf.XLOOKUP(G171,Label!$A$2:$A$309, Label!$C$2:$C$309)</f>
        <v>#NAME?</v>
      </c>
    </row>
    <row r="172" spans="1:10" ht="13">
      <c r="A172" s="4" t="s">
        <v>175</v>
      </c>
      <c r="B172" s="2" t="str">
        <f t="shared" si="0"/>
        <v>OK</v>
      </c>
      <c r="C172" s="5" t="s">
        <v>207</v>
      </c>
      <c r="E172" s="2" t="str">
        <f t="shared" si="1"/>
        <v>OK</v>
      </c>
      <c r="G172" s="5" t="s">
        <v>207</v>
      </c>
      <c r="H172" s="2" t="str">
        <f t="shared" si="2"/>
        <v>OK</v>
      </c>
      <c r="I172" s="2" t="e">
        <f t="array" aca="1" ref="I172" ca="1">_xludf.XLOOKUP(G172,Label!$A$2:$A$309, Label!$B$2:$B$309)</f>
        <v>#NAME?</v>
      </c>
      <c r="J172" s="2" t="e">
        <f t="array" aca="1" ref="J172" ca="1">_xludf.XLOOKUP(G172,Label!$A$2:$A$309, Label!$C$2:$C$309)</f>
        <v>#NAME?</v>
      </c>
    </row>
    <row r="173" spans="1:10" ht="13">
      <c r="A173" s="4" t="s">
        <v>176</v>
      </c>
      <c r="B173" s="2" t="str">
        <f t="shared" si="0"/>
        <v>OK</v>
      </c>
      <c r="C173" s="5" t="s">
        <v>208</v>
      </c>
      <c r="E173" s="2" t="str">
        <f t="shared" si="1"/>
        <v>OK</v>
      </c>
      <c r="G173" s="5" t="s">
        <v>208</v>
      </c>
      <c r="H173" s="2" t="str">
        <f t="shared" si="2"/>
        <v>OK</v>
      </c>
      <c r="I173" s="2" t="e">
        <f t="array" aca="1" ref="I173" ca="1">_xludf.XLOOKUP(G173,Label!$A$2:$A$309, Label!$B$2:$B$309)</f>
        <v>#NAME?</v>
      </c>
      <c r="J173" s="2" t="e">
        <f t="array" aca="1" ref="J173" ca="1">_xludf.XLOOKUP(G173,Label!$A$2:$A$309, Label!$C$2:$C$309)</f>
        <v>#NAME?</v>
      </c>
    </row>
    <row r="174" spans="1:10" ht="13">
      <c r="A174" s="4" t="s">
        <v>177</v>
      </c>
      <c r="B174" s="2" t="str">
        <f t="shared" si="0"/>
        <v>OK</v>
      </c>
      <c r="C174" s="5" t="s">
        <v>209</v>
      </c>
      <c r="E174" s="2" t="str">
        <f t="shared" si="1"/>
        <v>OK</v>
      </c>
      <c r="G174" s="5" t="s">
        <v>209</v>
      </c>
      <c r="H174" s="2" t="str">
        <f t="shared" si="2"/>
        <v>OK</v>
      </c>
      <c r="I174" s="2" t="e">
        <f t="array" aca="1" ref="I174" ca="1">_xludf.XLOOKUP(G174,Label!$A$2:$A$309, Label!$B$2:$B$309)</f>
        <v>#NAME?</v>
      </c>
      <c r="J174" s="2" t="e">
        <f t="array" aca="1" ref="J174" ca="1">_xludf.XLOOKUP(G174,Label!$A$2:$A$309, Label!$C$2:$C$309)</f>
        <v>#NAME?</v>
      </c>
    </row>
    <row r="175" spans="1:10" ht="13">
      <c r="A175" s="4" t="s">
        <v>178</v>
      </c>
      <c r="B175" s="2" t="str">
        <f t="shared" si="0"/>
        <v>OK</v>
      </c>
      <c r="C175" s="5" t="s">
        <v>210</v>
      </c>
      <c r="E175" s="2" t="str">
        <f t="shared" si="1"/>
        <v>OK</v>
      </c>
      <c r="G175" s="5" t="s">
        <v>210</v>
      </c>
      <c r="H175" s="2" t="str">
        <f t="shared" si="2"/>
        <v>OK</v>
      </c>
      <c r="I175" s="2" t="e">
        <f t="array" aca="1" ref="I175" ca="1">_xludf.XLOOKUP(G175,Label!$A$2:$A$309, Label!$B$2:$B$309)</f>
        <v>#NAME?</v>
      </c>
      <c r="J175" s="2" t="e">
        <f t="array" aca="1" ref="J175" ca="1">_xludf.XLOOKUP(G175,Label!$A$2:$A$309, Label!$C$2:$C$309)</f>
        <v>#NAME?</v>
      </c>
    </row>
    <row r="176" spans="1:10" ht="13">
      <c r="A176" s="4" t="s">
        <v>180</v>
      </c>
      <c r="B176" s="2" t="str">
        <f t="shared" si="0"/>
        <v>OK</v>
      </c>
      <c r="C176" s="5" t="s">
        <v>211</v>
      </c>
      <c r="E176" s="2" t="str">
        <f t="shared" si="1"/>
        <v>OK</v>
      </c>
      <c r="G176" s="5" t="s">
        <v>211</v>
      </c>
      <c r="H176" s="2" t="str">
        <f t="shared" si="2"/>
        <v>OK</v>
      </c>
      <c r="I176" s="2" t="e">
        <f t="array" aca="1" ref="I176" ca="1">_xludf.XLOOKUP(G176,Label!$A$2:$A$309, Label!$B$2:$B$309)</f>
        <v>#NAME?</v>
      </c>
      <c r="J176" s="2" t="e">
        <f t="array" aca="1" ref="J176" ca="1">_xludf.XLOOKUP(G176,Label!$A$2:$A$309, Label!$C$2:$C$309)</f>
        <v>#NAME?</v>
      </c>
    </row>
    <row r="177" spans="1:10" ht="13">
      <c r="A177" s="4" t="s">
        <v>181</v>
      </c>
      <c r="B177" s="2" t="str">
        <f t="shared" si="0"/>
        <v>OK</v>
      </c>
      <c r="C177" s="5" t="s">
        <v>212</v>
      </c>
      <c r="E177" s="2" t="str">
        <f t="shared" si="1"/>
        <v>OK</v>
      </c>
      <c r="G177" s="5" t="s">
        <v>212</v>
      </c>
      <c r="H177" s="2" t="str">
        <f t="shared" si="2"/>
        <v>OK</v>
      </c>
      <c r="I177" s="2" t="e">
        <f t="array" aca="1" ref="I177" ca="1">_xludf.XLOOKUP(G177,Label!$A$2:$A$309, Label!$B$2:$B$309)</f>
        <v>#NAME?</v>
      </c>
      <c r="J177" s="2" t="e">
        <f t="array" aca="1" ref="J177" ca="1">_xludf.XLOOKUP(G177,Label!$A$2:$A$309, Label!$C$2:$C$309)</f>
        <v>#NAME?</v>
      </c>
    </row>
    <row r="178" spans="1:10" ht="13">
      <c r="A178" s="4" t="s">
        <v>408</v>
      </c>
      <c r="B178" s="2" t="str">
        <f t="shared" si="0"/>
        <v>no</v>
      </c>
      <c r="C178" s="5" t="s">
        <v>213</v>
      </c>
      <c r="E178" s="2" t="str">
        <f t="shared" si="1"/>
        <v>OK</v>
      </c>
      <c r="G178" s="5" t="s">
        <v>213</v>
      </c>
      <c r="H178" s="2" t="str">
        <f t="shared" si="2"/>
        <v>OK</v>
      </c>
      <c r="I178" s="2" t="e">
        <f t="array" aca="1" ref="I178" ca="1">_xludf.XLOOKUP(G178,Label!$A$2:$A$309, Label!$B$2:$B$309)</f>
        <v>#NAME?</v>
      </c>
      <c r="J178" s="2" t="e">
        <f t="array" aca="1" ref="J178" ca="1">_xludf.XLOOKUP(G178,Label!$A$2:$A$309, Label!$C$2:$C$309)</f>
        <v>#NAME?</v>
      </c>
    </row>
    <row r="179" spans="1:10" ht="13">
      <c r="A179" s="4" t="s">
        <v>182</v>
      </c>
      <c r="B179" s="2" t="str">
        <f t="shared" si="0"/>
        <v>OK</v>
      </c>
      <c r="C179" s="5" t="s">
        <v>214</v>
      </c>
      <c r="E179" s="2" t="str">
        <f t="shared" si="1"/>
        <v>OK</v>
      </c>
      <c r="G179" s="5" t="s">
        <v>214</v>
      </c>
      <c r="H179" s="2" t="str">
        <f t="shared" si="2"/>
        <v>OK</v>
      </c>
      <c r="I179" s="2" t="e">
        <f t="array" aca="1" ref="I179" ca="1">_xludf.XLOOKUP(G179,Label!$A$2:$A$309, Label!$B$2:$B$309)</f>
        <v>#NAME?</v>
      </c>
      <c r="J179" s="2" t="e">
        <f t="array" aca="1" ref="J179" ca="1">_xludf.XLOOKUP(G179,Label!$A$2:$A$309, Label!$C$2:$C$309)</f>
        <v>#NAME?</v>
      </c>
    </row>
    <row r="180" spans="1:10" ht="13">
      <c r="A180" s="4" t="s">
        <v>183</v>
      </c>
      <c r="B180" s="2" t="str">
        <f t="shared" si="0"/>
        <v>OK</v>
      </c>
      <c r="C180" s="5" t="s">
        <v>215</v>
      </c>
      <c r="E180" s="2" t="str">
        <f t="shared" si="1"/>
        <v>OK</v>
      </c>
      <c r="G180" s="5" t="s">
        <v>215</v>
      </c>
      <c r="H180" s="2" t="str">
        <f t="shared" si="2"/>
        <v>OK</v>
      </c>
      <c r="I180" s="2" t="e">
        <f t="array" aca="1" ref="I180" ca="1">_xludf.XLOOKUP(G180,Label!$A$2:$A$309, Label!$B$2:$B$309)</f>
        <v>#NAME?</v>
      </c>
      <c r="J180" s="2" t="e">
        <f t="array" aca="1" ref="J180" ca="1">_xludf.XLOOKUP(G180,Label!$A$2:$A$309, Label!$C$2:$C$309)</f>
        <v>#NAME?</v>
      </c>
    </row>
    <row r="181" spans="1:10" ht="13">
      <c r="A181" s="4" t="s">
        <v>184</v>
      </c>
      <c r="B181" s="2" t="str">
        <f t="shared" si="0"/>
        <v>OK</v>
      </c>
      <c r="C181" s="5" t="s">
        <v>216</v>
      </c>
      <c r="E181" s="2" t="str">
        <f t="shared" si="1"/>
        <v>OK</v>
      </c>
      <c r="G181" s="5" t="s">
        <v>216</v>
      </c>
      <c r="H181" s="2" t="str">
        <f t="shared" si="2"/>
        <v>OK</v>
      </c>
      <c r="I181" s="2" t="e">
        <f t="array" aca="1" ref="I181" ca="1">_xludf.XLOOKUP(G181,Label!$A$2:$A$309, Label!$B$2:$B$309)</f>
        <v>#NAME?</v>
      </c>
      <c r="J181" s="2" t="e">
        <f t="array" aca="1" ref="J181" ca="1">_xludf.XLOOKUP(G181,Label!$A$2:$A$309, Label!$C$2:$C$309)</f>
        <v>#NAME?</v>
      </c>
    </row>
    <row r="182" spans="1:10" ht="13">
      <c r="A182" s="4" t="s">
        <v>185</v>
      </c>
      <c r="B182" s="2" t="str">
        <f t="shared" si="0"/>
        <v>OK</v>
      </c>
      <c r="C182" s="5" t="s">
        <v>217</v>
      </c>
      <c r="E182" s="2" t="str">
        <f t="shared" si="1"/>
        <v>OK</v>
      </c>
      <c r="G182" s="5" t="s">
        <v>217</v>
      </c>
      <c r="H182" s="2" t="str">
        <f t="shared" si="2"/>
        <v>OK</v>
      </c>
      <c r="I182" s="2" t="e">
        <f t="array" aca="1" ref="I182" ca="1">_xludf.XLOOKUP(G182,Label!$A$2:$A$309, Label!$B$2:$B$309)</f>
        <v>#NAME?</v>
      </c>
      <c r="J182" s="2" t="e">
        <f t="array" aca="1" ref="J182" ca="1">_xludf.XLOOKUP(G182,Label!$A$2:$A$309, Label!$C$2:$C$309)</f>
        <v>#NAME?</v>
      </c>
    </row>
    <row r="183" spans="1:10" ht="13">
      <c r="A183" s="4" t="s">
        <v>186</v>
      </c>
      <c r="B183" s="2" t="str">
        <f t="shared" si="0"/>
        <v>OK</v>
      </c>
      <c r="C183" s="5" t="s">
        <v>218</v>
      </c>
      <c r="E183" s="2" t="str">
        <f t="shared" si="1"/>
        <v>OK</v>
      </c>
      <c r="G183" s="5" t="s">
        <v>218</v>
      </c>
      <c r="H183" s="2" t="str">
        <f t="shared" si="2"/>
        <v>OK</v>
      </c>
      <c r="I183" s="2" t="e">
        <f t="array" aca="1" ref="I183" ca="1">_xludf.XLOOKUP(G183,Label!$A$2:$A$309, Label!$B$2:$B$309)</f>
        <v>#NAME?</v>
      </c>
      <c r="J183" s="2" t="e">
        <f t="array" aca="1" ref="J183" ca="1">_xludf.XLOOKUP(G183,Label!$A$2:$A$309, Label!$C$2:$C$309)</f>
        <v>#NAME?</v>
      </c>
    </row>
    <row r="184" spans="1:10" ht="13">
      <c r="A184" s="4" t="s">
        <v>187</v>
      </c>
      <c r="B184" s="2" t="str">
        <f t="shared" si="0"/>
        <v>OK</v>
      </c>
      <c r="C184" s="5" t="s">
        <v>219</v>
      </c>
      <c r="E184" s="2" t="str">
        <f t="shared" si="1"/>
        <v>OK</v>
      </c>
      <c r="G184" s="5" t="s">
        <v>219</v>
      </c>
      <c r="H184" s="2" t="str">
        <f t="shared" si="2"/>
        <v>OK</v>
      </c>
      <c r="I184" s="2" t="e">
        <f t="array" aca="1" ref="I184" ca="1">_xludf.XLOOKUP(G184,Label!$A$2:$A$309, Label!$B$2:$B$309)</f>
        <v>#NAME?</v>
      </c>
      <c r="J184" s="2" t="e">
        <f t="array" aca="1" ref="J184" ca="1">_xludf.XLOOKUP(G184,Label!$A$2:$A$309, Label!$C$2:$C$309)</f>
        <v>#NAME?</v>
      </c>
    </row>
    <row r="185" spans="1:10" ht="13">
      <c r="A185" s="4" t="s">
        <v>188</v>
      </c>
      <c r="B185" s="2" t="str">
        <f t="shared" si="0"/>
        <v>OK</v>
      </c>
      <c r="C185" s="5" t="s">
        <v>220</v>
      </c>
      <c r="E185" s="2" t="str">
        <f t="shared" si="1"/>
        <v>OK</v>
      </c>
      <c r="G185" s="5" t="s">
        <v>220</v>
      </c>
      <c r="H185" s="2" t="str">
        <f t="shared" si="2"/>
        <v>OK</v>
      </c>
      <c r="I185" s="2" t="e">
        <f t="array" aca="1" ref="I185" ca="1">_xludf.XLOOKUP(G185,Label!$A$2:$A$309, Label!$B$2:$B$309)</f>
        <v>#NAME?</v>
      </c>
      <c r="J185" s="2" t="e">
        <f t="array" aca="1" ref="J185" ca="1">_xludf.XLOOKUP(G185,Label!$A$2:$A$309, Label!$C$2:$C$309)</f>
        <v>#NAME?</v>
      </c>
    </row>
    <row r="186" spans="1:10" ht="13">
      <c r="A186" s="4" t="s">
        <v>189</v>
      </c>
      <c r="B186" s="2" t="str">
        <f t="shared" si="0"/>
        <v>OK</v>
      </c>
      <c r="C186" s="5" t="s">
        <v>221</v>
      </c>
      <c r="E186" s="2" t="str">
        <f t="shared" si="1"/>
        <v>OK</v>
      </c>
      <c r="G186" s="5" t="s">
        <v>221</v>
      </c>
      <c r="H186" s="2" t="str">
        <f t="shared" si="2"/>
        <v>OK</v>
      </c>
      <c r="I186" s="2" t="e">
        <f t="array" aca="1" ref="I186" ca="1">_xludf.XLOOKUP(G186,Label!$A$2:$A$309, Label!$B$2:$B$309)</f>
        <v>#NAME?</v>
      </c>
      <c r="J186" s="2" t="e">
        <f t="array" aca="1" ref="J186" ca="1">_xludf.XLOOKUP(G186,Label!$A$2:$A$309, Label!$C$2:$C$309)</f>
        <v>#NAME?</v>
      </c>
    </row>
    <row r="187" spans="1:10" ht="13">
      <c r="A187" s="4" t="s">
        <v>190</v>
      </c>
      <c r="B187" s="2" t="str">
        <f t="shared" si="0"/>
        <v>OK</v>
      </c>
      <c r="C187" s="5" t="s">
        <v>222</v>
      </c>
      <c r="E187" s="2" t="str">
        <f t="shared" si="1"/>
        <v>OK</v>
      </c>
      <c r="G187" s="5" t="s">
        <v>222</v>
      </c>
      <c r="H187" s="2" t="str">
        <f t="shared" si="2"/>
        <v>OK</v>
      </c>
      <c r="I187" s="2" t="e">
        <f t="array" aca="1" ref="I187" ca="1">_xludf.XLOOKUP(G187,Label!$A$2:$A$309, Label!$B$2:$B$309)</f>
        <v>#NAME?</v>
      </c>
      <c r="J187" s="2" t="e">
        <f t="array" aca="1" ref="J187" ca="1">_xludf.XLOOKUP(G187,Label!$A$2:$A$309, Label!$C$2:$C$309)</f>
        <v>#NAME?</v>
      </c>
    </row>
    <row r="188" spans="1:10" ht="13">
      <c r="A188" s="4" t="s">
        <v>191</v>
      </c>
      <c r="B188" s="2" t="str">
        <f t="shared" si="0"/>
        <v>OK</v>
      </c>
      <c r="C188" s="5" t="s">
        <v>223</v>
      </c>
      <c r="E188" s="2" t="str">
        <f t="shared" si="1"/>
        <v>OK</v>
      </c>
      <c r="G188" s="5" t="s">
        <v>223</v>
      </c>
      <c r="H188" s="2" t="str">
        <f t="shared" si="2"/>
        <v>OK</v>
      </c>
      <c r="I188" s="2" t="e">
        <f t="array" aca="1" ref="I188" ca="1">_xludf.XLOOKUP(G188,Label!$A$2:$A$309, Label!$B$2:$B$309)</f>
        <v>#NAME?</v>
      </c>
      <c r="J188" s="2" t="e">
        <f t="array" aca="1" ref="J188" ca="1">_xludf.XLOOKUP(G188,Label!$A$2:$A$309, Label!$C$2:$C$309)</f>
        <v>#NAME?</v>
      </c>
    </row>
    <row r="189" spans="1:10" ht="13">
      <c r="A189" s="4" t="s">
        <v>192</v>
      </c>
      <c r="B189" s="2" t="str">
        <f t="shared" si="0"/>
        <v>OK</v>
      </c>
      <c r="C189" s="5" t="s">
        <v>224</v>
      </c>
      <c r="E189" s="2" t="str">
        <f t="shared" si="1"/>
        <v>OK</v>
      </c>
      <c r="G189" s="5" t="s">
        <v>224</v>
      </c>
      <c r="H189" s="2" t="str">
        <f t="shared" si="2"/>
        <v>OK</v>
      </c>
      <c r="I189" s="2" t="e">
        <f t="array" aca="1" ref="I189" ca="1">_xludf.XLOOKUP(G189,Label!$A$2:$A$309, Label!$B$2:$B$309)</f>
        <v>#NAME?</v>
      </c>
      <c r="J189" s="2" t="e">
        <f t="array" aca="1" ref="J189" ca="1">_xludf.XLOOKUP(G189,Label!$A$2:$A$309, Label!$C$2:$C$309)</f>
        <v>#NAME?</v>
      </c>
    </row>
    <row r="190" spans="1:10" ht="13">
      <c r="A190" s="4" t="s">
        <v>193</v>
      </c>
      <c r="B190" s="2" t="str">
        <f t="shared" si="0"/>
        <v>OK</v>
      </c>
      <c r="C190" s="5" t="s">
        <v>225</v>
      </c>
      <c r="E190" s="2" t="str">
        <f t="shared" si="1"/>
        <v>OK</v>
      </c>
      <c r="G190" s="5" t="s">
        <v>225</v>
      </c>
      <c r="H190" s="2" t="str">
        <f t="shared" si="2"/>
        <v>OK</v>
      </c>
      <c r="I190" s="2" t="e">
        <f t="array" aca="1" ref="I190" ca="1">_xludf.XLOOKUP(G190,Label!$A$2:$A$309, Label!$B$2:$B$309)</f>
        <v>#NAME?</v>
      </c>
      <c r="J190" s="2" t="e">
        <f t="array" aca="1" ref="J190" ca="1">_xludf.XLOOKUP(G190,Label!$A$2:$A$309, Label!$C$2:$C$309)</f>
        <v>#NAME?</v>
      </c>
    </row>
    <row r="191" spans="1:10" ht="13">
      <c r="A191" s="4" t="s">
        <v>194</v>
      </c>
      <c r="B191" s="2" t="str">
        <f t="shared" si="0"/>
        <v>OK</v>
      </c>
      <c r="C191" s="5" t="s">
        <v>226</v>
      </c>
      <c r="E191" s="2" t="str">
        <f t="shared" si="1"/>
        <v>OK</v>
      </c>
      <c r="G191" s="5" t="s">
        <v>226</v>
      </c>
      <c r="H191" s="2" t="str">
        <f t="shared" si="2"/>
        <v>OK</v>
      </c>
      <c r="I191" s="2" t="e">
        <f t="array" aca="1" ref="I191" ca="1">_xludf.XLOOKUP(G191,Label!$A$2:$A$309, Label!$B$2:$B$309)</f>
        <v>#NAME?</v>
      </c>
      <c r="J191" s="2" t="e">
        <f t="array" aca="1" ref="J191" ca="1">_xludf.XLOOKUP(G191,Label!$A$2:$A$309, Label!$C$2:$C$309)</f>
        <v>#NAME?</v>
      </c>
    </row>
    <row r="192" spans="1:10" ht="13">
      <c r="A192" s="4" t="s">
        <v>196</v>
      </c>
      <c r="B192" s="2" t="str">
        <f t="shared" si="0"/>
        <v>OK</v>
      </c>
      <c r="C192" s="5" t="s">
        <v>227</v>
      </c>
      <c r="E192" s="2" t="str">
        <f t="shared" si="1"/>
        <v>OK</v>
      </c>
      <c r="G192" s="5" t="s">
        <v>227</v>
      </c>
      <c r="H192" s="2" t="str">
        <f t="shared" si="2"/>
        <v>OK</v>
      </c>
      <c r="I192" s="2" t="e">
        <f t="array" aca="1" ref="I192" ca="1">_xludf.XLOOKUP(G192,Label!$A$2:$A$309, Label!$B$2:$B$309)</f>
        <v>#NAME?</v>
      </c>
      <c r="J192" s="2" t="e">
        <f t="array" aca="1" ref="J192" ca="1">_xludf.XLOOKUP(G192,Label!$A$2:$A$309, Label!$C$2:$C$309)</f>
        <v>#NAME?</v>
      </c>
    </row>
    <row r="193" spans="1:10" ht="13">
      <c r="A193" s="4" t="s">
        <v>198</v>
      </c>
      <c r="B193" s="2" t="str">
        <f t="shared" si="0"/>
        <v>OK</v>
      </c>
      <c r="C193" s="5" t="s">
        <v>228</v>
      </c>
      <c r="E193" s="2" t="str">
        <f t="shared" si="1"/>
        <v>OK</v>
      </c>
      <c r="G193" s="5" t="s">
        <v>228</v>
      </c>
      <c r="H193" s="2" t="str">
        <f t="shared" si="2"/>
        <v>OK</v>
      </c>
      <c r="I193" s="2" t="e">
        <f t="array" aca="1" ref="I193" ca="1">_xludf.XLOOKUP(G193,Label!$A$2:$A$309, Label!$B$2:$B$309)</f>
        <v>#NAME?</v>
      </c>
      <c r="J193" s="2" t="e">
        <f t="array" aca="1" ref="J193" ca="1">_xludf.XLOOKUP(G193,Label!$A$2:$A$309, Label!$C$2:$C$309)</f>
        <v>#NAME?</v>
      </c>
    </row>
    <row r="194" spans="1:10" ht="13">
      <c r="A194" s="4" t="s">
        <v>199</v>
      </c>
      <c r="B194" s="2" t="str">
        <f t="shared" si="0"/>
        <v>OK</v>
      </c>
      <c r="C194" s="5" t="s">
        <v>229</v>
      </c>
      <c r="E194" s="2" t="str">
        <f t="shared" si="1"/>
        <v>OK</v>
      </c>
      <c r="G194" s="5" t="s">
        <v>229</v>
      </c>
      <c r="H194" s="2" t="str">
        <f t="shared" si="2"/>
        <v>OK</v>
      </c>
      <c r="I194" s="2" t="e">
        <f t="array" aca="1" ref="I194" ca="1">_xludf.XLOOKUP(G194,Label!$A$2:$A$309, Label!$B$2:$B$309)</f>
        <v>#NAME?</v>
      </c>
      <c r="J194" s="2" t="e">
        <f t="array" aca="1" ref="J194" ca="1">_xludf.XLOOKUP(G194,Label!$A$2:$A$309, Label!$C$2:$C$309)</f>
        <v>#NAME?</v>
      </c>
    </row>
    <row r="195" spans="1:10" ht="13">
      <c r="A195" s="4" t="s">
        <v>200</v>
      </c>
      <c r="B195" s="2" t="str">
        <f t="shared" si="0"/>
        <v>OK</v>
      </c>
      <c r="C195" s="5" t="s">
        <v>230</v>
      </c>
      <c r="E195" s="2" t="str">
        <f t="shared" si="1"/>
        <v>OK</v>
      </c>
      <c r="G195" s="5" t="s">
        <v>230</v>
      </c>
      <c r="H195" s="2" t="str">
        <f t="shared" si="2"/>
        <v>OK</v>
      </c>
      <c r="I195" s="2" t="e">
        <f t="array" aca="1" ref="I195" ca="1">_xludf.XLOOKUP(G195,Label!$A$2:$A$309, Label!$B$2:$B$309)</f>
        <v>#NAME?</v>
      </c>
      <c r="J195" s="2" t="e">
        <f t="array" aca="1" ref="J195" ca="1">_xludf.XLOOKUP(G195,Label!$A$2:$A$309, Label!$C$2:$C$309)</f>
        <v>#NAME?</v>
      </c>
    </row>
    <row r="196" spans="1:10" ht="13">
      <c r="A196" s="4" t="s">
        <v>201</v>
      </c>
      <c r="B196" s="2" t="str">
        <f t="shared" si="0"/>
        <v>OK</v>
      </c>
      <c r="C196" s="5" t="s">
        <v>231</v>
      </c>
      <c r="E196" s="2" t="str">
        <f t="shared" si="1"/>
        <v>OK</v>
      </c>
      <c r="G196" s="5" t="s">
        <v>231</v>
      </c>
      <c r="H196" s="2" t="str">
        <f t="shared" si="2"/>
        <v>OK</v>
      </c>
      <c r="I196" s="2" t="e">
        <f t="array" aca="1" ref="I196" ca="1">_xludf.XLOOKUP(G196,Label!$A$2:$A$309, Label!$B$2:$B$309)</f>
        <v>#NAME?</v>
      </c>
      <c r="J196" s="2" t="e">
        <f t="array" aca="1" ref="J196" ca="1">_xludf.XLOOKUP(G196,Label!$A$2:$A$309, Label!$C$2:$C$309)</f>
        <v>#NAME?</v>
      </c>
    </row>
    <row r="197" spans="1:10" ht="13">
      <c r="A197" s="4" t="s">
        <v>202</v>
      </c>
      <c r="B197" s="2" t="str">
        <f t="shared" si="0"/>
        <v>OK</v>
      </c>
      <c r="C197" s="5" t="s">
        <v>232</v>
      </c>
      <c r="E197" s="2" t="str">
        <f t="shared" si="1"/>
        <v>OK</v>
      </c>
      <c r="G197" s="5" t="s">
        <v>232</v>
      </c>
      <c r="H197" s="2" t="str">
        <f t="shared" si="2"/>
        <v>OK</v>
      </c>
      <c r="I197" s="2" t="e">
        <f t="array" aca="1" ref="I197" ca="1">_xludf.XLOOKUP(G197,Label!$A$2:$A$309, Label!$B$2:$B$309)</f>
        <v>#NAME?</v>
      </c>
      <c r="J197" s="2" t="e">
        <f t="array" aca="1" ref="J197" ca="1">_xludf.XLOOKUP(G197,Label!$A$2:$A$309, Label!$C$2:$C$309)</f>
        <v>#NAME?</v>
      </c>
    </row>
    <row r="198" spans="1:10" ht="13">
      <c r="A198" s="4" t="s">
        <v>203</v>
      </c>
      <c r="B198" s="2" t="str">
        <f t="shared" si="0"/>
        <v>OK</v>
      </c>
      <c r="C198" s="5" t="s">
        <v>233</v>
      </c>
      <c r="E198" s="2" t="str">
        <f t="shared" si="1"/>
        <v>OK</v>
      </c>
      <c r="G198" s="5" t="s">
        <v>233</v>
      </c>
      <c r="H198" s="2" t="str">
        <f t="shared" si="2"/>
        <v>OK</v>
      </c>
      <c r="I198" s="2" t="e">
        <f t="array" aca="1" ref="I198" ca="1">_xludf.XLOOKUP(G198,Label!$A$2:$A$309, Label!$B$2:$B$309)</f>
        <v>#NAME?</v>
      </c>
      <c r="J198" s="2" t="e">
        <f t="array" aca="1" ref="J198" ca="1">_xludf.XLOOKUP(G198,Label!$A$2:$A$309, Label!$C$2:$C$309)</f>
        <v>#NAME?</v>
      </c>
    </row>
    <row r="199" spans="1:10" ht="13">
      <c r="A199" s="4" t="s">
        <v>204</v>
      </c>
      <c r="B199" s="2" t="str">
        <f t="shared" si="0"/>
        <v>OK</v>
      </c>
      <c r="C199" s="5" t="s">
        <v>234</v>
      </c>
      <c r="E199" s="2" t="str">
        <f t="shared" si="1"/>
        <v>OK</v>
      </c>
      <c r="G199" s="5" t="s">
        <v>234</v>
      </c>
      <c r="H199" s="2" t="str">
        <f t="shared" si="2"/>
        <v>OK</v>
      </c>
      <c r="I199" s="2" t="e">
        <f t="array" aca="1" ref="I199" ca="1">_xludf.XLOOKUP(G199,Label!$A$2:$A$309, Label!$B$2:$B$309)</f>
        <v>#NAME?</v>
      </c>
      <c r="J199" s="2" t="e">
        <f t="array" aca="1" ref="J199" ca="1">_xludf.XLOOKUP(G199,Label!$A$2:$A$309, Label!$C$2:$C$309)</f>
        <v>#NAME?</v>
      </c>
    </row>
    <row r="200" spans="1:10" ht="13">
      <c r="A200" s="4" t="s">
        <v>205</v>
      </c>
      <c r="B200" s="2" t="str">
        <f t="shared" si="0"/>
        <v>OK</v>
      </c>
      <c r="C200" s="5" t="s">
        <v>235</v>
      </c>
      <c r="E200" s="2" t="str">
        <f t="shared" si="1"/>
        <v>OK</v>
      </c>
      <c r="G200" s="5" t="s">
        <v>235</v>
      </c>
      <c r="H200" s="2" t="str">
        <f t="shared" si="2"/>
        <v>OK</v>
      </c>
      <c r="I200" s="2" t="e">
        <f t="array" aca="1" ref="I200" ca="1">_xludf.XLOOKUP(G200,Label!$A$2:$A$309, Label!$B$2:$B$309)</f>
        <v>#NAME?</v>
      </c>
      <c r="J200" s="2" t="e">
        <f t="array" aca="1" ref="J200" ca="1">_xludf.XLOOKUP(G200,Label!$A$2:$A$309, Label!$C$2:$C$309)</f>
        <v>#NAME?</v>
      </c>
    </row>
    <row r="201" spans="1:10" ht="13">
      <c r="A201" s="4" t="s">
        <v>206</v>
      </c>
      <c r="B201" s="2" t="str">
        <f t="shared" si="0"/>
        <v>OK</v>
      </c>
      <c r="C201" s="5" t="s">
        <v>236</v>
      </c>
      <c r="E201" s="2" t="str">
        <f t="shared" si="1"/>
        <v>OK</v>
      </c>
      <c r="G201" s="5" t="s">
        <v>236</v>
      </c>
      <c r="H201" s="2" t="str">
        <f t="shared" si="2"/>
        <v>OK</v>
      </c>
      <c r="I201" s="2" t="e">
        <f t="array" aca="1" ref="I201" ca="1">_xludf.XLOOKUP(G201,Label!$A$2:$A$309, Label!$B$2:$B$309)</f>
        <v>#NAME?</v>
      </c>
      <c r="J201" s="2" t="e">
        <f t="array" aca="1" ref="J201" ca="1">_xludf.XLOOKUP(G201,Label!$A$2:$A$309, Label!$C$2:$C$309)</f>
        <v>#NAME?</v>
      </c>
    </row>
    <row r="202" spans="1:10" ht="13">
      <c r="A202" s="4" t="s">
        <v>207</v>
      </c>
      <c r="B202" s="2" t="str">
        <f t="shared" si="0"/>
        <v>OK</v>
      </c>
      <c r="C202" s="5" t="s">
        <v>237</v>
      </c>
      <c r="E202" s="2" t="str">
        <f t="shared" si="1"/>
        <v>OK</v>
      </c>
      <c r="G202" s="5" t="s">
        <v>237</v>
      </c>
      <c r="H202" s="2" t="str">
        <f t="shared" si="2"/>
        <v>OK</v>
      </c>
      <c r="I202" s="2" t="e">
        <f t="array" aca="1" ref="I202" ca="1">_xludf.XLOOKUP(G202,Label!$A$2:$A$309, Label!$B$2:$B$309)</f>
        <v>#NAME?</v>
      </c>
      <c r="J202" s="2" t="e">
        <f t="array" aca="1" ref="J202" ca="1">_xludf.XLOOKUP(G202,Label!$A$2:$A$309, Label!$C$2:$C$309)</f>
        <v>#NAME?</v>
      </c>
    </row>
    <row r="203" spans="1:10" ht="13">
      <c r="A203" s="4" t="s">
        <v>208</v>
      </c>
      <c r="B203" s="2" t="str">
        <f t="shared" si="0"/>
        <v>OK</v>
      </c>
      <c r="C203" s="5" t="s">
        <v>238</v>
      </c>
      <c r="E203" s="2" t="str">
        <f t="shared" si="1"/>
        <v>OK</v>
      </c>
      <c r="G203" s="5" t="s">
        <v>238</v>
      </c>
      <c r="H203" s="2" t="str">
        <f t="shared" si="2"/>
        <v>OK</v>
      </c>
      <c r="I203" s="2" t="e">
        <f t="array" aca="1" ref="I203" ca="1">_xludf.XLOOKUP(G203,Label!$A$2:$A$309, Label!$B$2:$B$309)</f>
        <v>#NAME?</v>
      </c>
      <c r="J203" s="2" t="e">
        <f t="array" aca="1" ref="J203" ca="1">_xludf.XLOOKUP(G203,Label!$A$2:$A$309, Label!$C$2:$C$309)</f>
        <v>#NAME?</v>
      </c>
    </row>
    <row r="204" spans="1:10" ht="13">
      <c r="A204" s="4" t="s">
        <v>209</v>
      </c>
      <c r="B204" s="2" t="str">
        <f t="shared" si="0"/>
        <v>OK</v>
      </c>
      <c r="C204" s="5" t="s">
        <v>240</v>
      </c>
      <c r="E204" s="2" t="str">
        <f t="shared" si="1"/>
        <v>OK</v>
      </c>
      <c r="G204" s="5" t="s">
        <v>240</v>
      </c>
      <c r="H204" s="2" t="str">
        <f t="shared" si="2"/>
        <v>OK</v>
      </c>
      <c r="I204" s="2" t="e">
        <f t="array" aca="1" ref="I204" ca="1">_xludf.XLOOKUP(G204,Label!$A$2:$A$309, Label!$B$2:$B$309)</f>
        <v>#NAME?</v>
      </c>
      <c r="J204" s="2" t="e">
        <f t="array" aca="1" ref="J204" ca="1">_xludf.XLOOKUP(G204,Label!$A$2:$A$309, Label!$C$2:$C$309)</f>
        <v>#NAME?</v>
      </c>
    </row>
    <row r="205" spans="1:10" ht="13">
      <c r="A205" s="4" t="s">
        <v>210</v>
      </c>
      <c r="B205" s="2" t="str">
        <f t="shared" si="0"/>
        <v>OK</v>
      </c>
      <c r="C205" s="5" t="s">
        <v>241</v>
      </c>
      <c r="E205" s="2" t="str">
        <f t="shared" si="1"/>
        <v>OK</v>
      </c>
      <c r="G205" s="5" t="s">
        <v>241</v>
      </c>
      <c r="H205" s="2" t="str">
        <f t="shared" si="2"/>
        <v>OK</v>
      </c>
      <c r="I205" s="2" t="e">
        <f t="array" aca="1" ref="I205" ca="1">_xludf.XLOOKUP(G205,Label!$A$2:$A$309, Label!$B$2:$B$309)</f>
        <v>#NAME?</v>
      </c>
      <c r="J205" s="2" t="e">
        <f t="array" aca="1" ref="J205" ca="1">_xludf.XLOOKUP(G205,Label!$A$2:$A$309, Label!$C$2:$C$309)</f>
        <v>#NAME?</v>
      </c>
    </row>
    <row r="206" spans="1:10" ht="13">
      <c r="A206" s="4" t="s">
        <v>211</v>
      </c>
      <c r="B206" s="2" t="str">
        <f t="shared" si="0"/>
        <v>OK</v>
      </c>
      <c r="C206" s="5" t="s">
        <v>242</v>
      </c>
      <c r="E206" s="2" t="str">
        <f t="shared" si="1"/>
        <v>OK</v>
      </c>
      <c r="G206" s="5" t="s">
        <v>242</v>
      </c>
      <c r="H206" s="2" t="str">
        <f t="shared" si="2"/>
        <v>OK</v>
      </c>
      <c r="I206" s="2" t="e">
        <f t="array" aca="1" ref="I206" ca="1">_xludf.XLOOKUP(G206,Label!$A$2:$A$309, Label!$B$2:$B$309)</f>
        <v>#NAME?</v>
      </c>
      <c r="J206" s="2" t="e">
        <f t="array" aca="1" ref="J206" ca="1">_xludf.XLOOKUP(G206,Label!$A$2:$A$309, Label!$C$2:$C$309)</f>
        <v>#NAME?</v>
      </c>
    </row>
    <row r="207" spans="1:10" ht="13">
      <c r="A207" s="4" t="s">
        <v>212</v>
      </c>
      <c r="B207" s="2" t="str">
        <f t="shared" si="0"/>
        <v>OK</v>
      </c>
      <c r="C207" s="5" t="s">
        <v>243</v>
      </c>
      <c r="E207" s="2" t="str">
        <f t="shared" si="1"/>
        <v>OK</v>
      </c>
      <c r="G207" s="5" t="s">
        <v>243</v>
      </c>
      <c r="H207" s="2" t="str">
        <f t="shared" si="2"/>
        <v>OK</v>
      </c>
      <c r="I207" s="2" t="e">
        <f t="array" aca="1" ref="I207" ca="1">_xludf.XLOOKUP(G207,Label!$A$2:$A$309, Label!$B$2:$B$309)</f>
        <v>#NAME?</v>
      </c>
      <c r="J207" s="2" t="e">
        <f t="array" aca="1" ref="J207" ca="1">_xludf.XLOOKUP(G207,Label!$A$2:$A$309, Label!$C$2:$C$309)</f>
        <v>#NAME?</v>
      </c>
    </row>
    <row r="208" spans="1:10" ht="13">
      <c r="A208" s="4" t="s">
        <v>213</v>
      </c>
      <c r="B208" s="2" t="str">
        <f t="shared" si="0"/>
        <v>OK</v>
      </c>
      <c r="C208" s="5" t="s">
        <v>244</v>
      </c>
      <c r="E208" s="2" t="str">
        <f t="shared" si="1"/>
        <v>OK</v>
      </c>
      <c r="G208" s="5" t="s">
        <v>244</v>
      </c>
      <c r="H208" s="2" t="str">
        <f t="shared" si="2"/>
        <v>OK</v>
      </c>
      <c r="I208" s="2" t="e">
        <f t="array" aca="1" ref="I208" ca="1">_xludf.XLOOKUP(G208,Label!$A$2:$A$309, Label!$B$2:$B$309)</f>
        <v>#NAME?</v>
      </c>
      <c r="J208" s="2" t="e">
        <f t="array" aca="1" ref="J208" ca="1">_xludf.XLOOKUP(G208,Label!$A$2:$A$309, Label!$C$2:$C$309)</f>
        <v>#NAME?</v>
      </c>
    </row>
    <row r="209" spans="1:10" ht="13">
      <c r="A209" s="4" t="s">
        <v>214</v>
      </c>
      <c r="B209" s="2" t="str">
        <f t="shared" si="0"/>
        <v>OK</v>
      </c>
      <c r="C209" s="5" t="s">
        <v>245</v>
      </c>
      <c r="E209" s="2" t="str">
        <f t="shared" si="1"/>
        <v>OK</v>
      </c>
      <c r="G209" s="5" t="s">
        <v>245</v>
      </c>
      <c r="H209" s="2" t="str">
        <f t="shared" si="2"/>
        <v>OK</v>
      </c>
      <c r="I209" s="2" t="e">
        <f t="array" aca="1" ref="I209" ca="1">_xludf.XLOOKUP(G209,Label!$A$2:$A$309, Label!$B$2:$B$309)</f>
        <v>#NAME?</v>
      </c>
      <c r="J209" s="2" t="e">
        <f t="array" aca="1" ref="J209" ca="1">_xludf.XLOOKUP(G209,Label!$A$2:$A$309, Label!$C$2:$C$309)</f>
        <v>#NAME?</v>
      </c>
    </row>
    <row r="210" spans="1:10" ht="13">
      <c r="A210" s="4" t="s">
        <v>215</v>
      </c>
      <c r="B210" s="2" t="str">
        <f t="shared" si="0"/>
        <v>OK</v>
      </c>
      <c r="C210" s="5" t="s">
        <v>246</v>
      </c>
      <c r="E210" s="2" t="str">
        <f t="shared" si="1"/>
        <v>OK</v>
      </c>
      <c r="G210" s="5" t="s">
        <v>246</v>
      </c>
      <c r="H210" s="2" t="str">
        <f t="shared" si="2"/>
        <v>OK</v>
      </c>
      <c r="I210" s="2" t="e">
        <f t="array" aca="1" ref="I210" ca="1">_xludf.XLOOKUP(G210,Label!$A$2:$A$309, Label!$B$2:$B$309)</f>
        <v>#NAME?</v>
      </c>
      <c r="J210" s="2" t="e">
        <f t="array" aca="1" ref="J210" ca="1">_xludf.XLOOKUP(G210,Label!$A$2:$A$309, Label!$C$2:$C$309)</f>
        <v>#NAME?</v>
      </c>
    </row>
    <row r="211" spans="1:10" ht="13">
      <c r="A211" s="4" t="s">
        <v>216</v>
      </c>
      <c r="B211" s="2" t="str">
        <f t="shared" si="0"/>
        <v>OK</v>
      </c>
      <c r="C211" s="5" t="s">
        <v>247</v>
      </c>
      <c r="E211" s="2" t="str">
        <f t="shared" si="1"/>
        <v>OK</v>
      </c>
      <c r="G211" s="5" t="s">
        <v>247</v>
      </c>
      <c r="H211" s="2" t="str">
        <f t="shared" si="2"/>
        <v>OK</v>
      </c>
      <c r="I211" s="2" t="e">
        <f t="array" aca="1" ref="I211" ca="1">_xludf.XLOOKUP(G211,Label!$A$2:$A$309, Label!$B$2:$B$309)</f>
        <v>#NAME?</v>
      </c>
      <c r="J211" s="2" t="e">
        <f t="array" aca="1" ref="J211" ca="1">_xludf.XLOOKUP(G211,Label!$A$2:$A$309, Label!$C$2:$C$309)</f>
        <v>#NAME?</v>
      </c>
    </row>
    <row r="212" spans="1:10" ht="13">
      <c r="A212" s="4" t="s">
        <v>217</v>
      </c>
      <c r="B212" s="2" t="str">
        <f t="shared" si="0"/>
        <v>OK</v>
      </c>
      <c r="C212" s="5" t="s">
        <v>248</v>
      </c>
      <c r="E212" s="2" t="str">
        <f t="shared" si="1"/>
        <v>OK</v>
      </c>
      <c r="G212" s="5" t="s">
        <v>248</v>
      </c>
      <c r="H212" s="2" t="str">
        <f t="shared" si="2"/>
        <v>OK</v>
      </c>
      <c r="I212" s="2" t="e">
        <f t="array" aca="1" ref="I212" ca="1">_xludf.XLOOKUP(G212,Label!$A$2:$A$309, Label!$B$2:$B$309)</f>
        <v>#NAME?</v>
      </c>
      <c r="J212" s="2" t="e">
        <f t="array" aca="1" ref="J212" ca="1">_xludf.XLOOKUP(G212,Label!$A$2:$A$309, Label!$C$2:$C$309)</f>
        <v>#NAME?</v>
      </c>
    </row>
    <row r="213" spans="1:10" ht="13">
      <c r="A213" s="4" t="s">
        <v>218</v>
      </c>
      <c r="B213" s="2" t="str">
        <f t="shared" si="0"/>
        <v>OK</v>
      </c>
      <c r="C213" s="5" t="s">
        <v>249</v>
      </c>
      <c r="E213" s="2" t="str">
        <f t="shared" si="1"/>
        <v>OK</v>
      </c>
      <c r="G213" s="5" t="s">
        <v>249</v>
      </c>
      <c r="H213" s="2" t="str">
        <f t="shared" si="2"/>
        <v>OK</v>
      </c>
      <c r="I213" s="2" t="e">
        <f t="array" aca="1" ref="I213" ca="1">_xludf.XLOOKUP(G213,Label!$A$2:$A$309, Label!$B$2:$B$309)</f>
        <v>#NAME?</v>
      </c>
      <c r="J213" s="2" t="e">
        <f t="array" aca="1" ref="J213" ca="1">_xludf.XLOOKUP(G213,Label!$A$2:$A$309, Label!$C$2:$C$309)</f>
        <v>#NAME?</v>
      </c>
    </row>
    <row r="214" spans="1:10" ht="13">
      <c r="A214" s="4" t="s">
        <v>219</v>
      </c>
      <c r="B214" s="2" t="str">
        <f t="shared" si="0"/>
        <v>OK</v>
      </c>
      <c r="C214" s="5" t="s">
        <v>250</v>
      </c>
      <c r="E214" s="2" t="str">
        <f t="shared" si="1"/>
        <v>OK</v>
      </c>
      <c r="G214" s="5" t="s">
        <v>250</v>
      </c>
      <c r="H214" s="2" t="str">
        <f t="shared" si="2"/>
        <v>OK</v>
      </c>
      <c r="I214" s="2" t="e">
        <f t="array" aca="1" ref="I214" ca="1">_xludf.XLOOKUP(G214,Label!$A$2:$A$309, Label!$B$2:$B$309)</f>
        <v>#NAME?</v>
      </c>
      <c r="J214" s="2" t="e">
        <f t="array" aca="1" ref="J214" ca="1">_xludf.XLOOKUP(G214,Label!$A$2:$A$309, Label!$C$2:$C$309)</f>
        <v>#NAME?</v>
      </c>
    </row>
    <row r="215" spans="1:10" ht="13">
      <c r="A215" s="4" t="s">
        <v>220</v>
      </c>
      <c r="B215" s="2" t="str">
        <f t="shared" si="0"/>
        <v>OK</v>
      </c>
      <c r="C215" s="5" t="s">
        <v>251</v>
      </c>
      <c r="E215" s="2" t="str">
        <f t="shared" si="1"/>
        <v>OK</v>
      </c>
      <c r="G215" s="5" t="s">
        <v>251</v>
      </c>
      <c r="H215" s="2" t="str">
        <f t="shared" si="2"/>
        <v>OK</v>
      </c>
      <c r="I215" s="2" t="e">
        <f t="array" aca="1" ref="I215" ca="1">_xludf.XLOOKUP(G215,Label!$A$2:$A$309, Label!$B$2:$B$309)</f>
        <v>#NAME?</v>
      </c>
      <c r="J215" s="2" t="e">
        <f t="array" aca="1" ref="J215" ca="1">_xludf.XLOOKUP(G215,Label!$A$2:$A$309, Label!$C$2:$C$309)</f>
        <v>#NAME?</v>
      </c>
    </row>
    <row r="216" spans="1:10" ht="13">
      <c r="A216" s="4" t="s">
        <v>221</v>
      </c>
      <c r="B216" s="2" t="str">
        <f t="shared" si="0"/>
        <v>OK</v>
      </c>
      <c r="C216" s="5" t="s">
        <v>252</v>
      </c>
      <c r="E216" s="2" t="str">
        <f t="shared" si="1"/>
        <v>OK</v>
      </c>
      <c r="G216" s="5" t="s">
        <v>252</v>
      </c>
      <c r="H216" s="2" t="str">
        <f t="shared" si="2"/>
        <v>OK</v>
      </c>
      <c r="I216" s="2" t="e">
        <f t="array" aca="1" ref="I216" ca="1">_xludf.XLOOKUP(G216,Label!$A$2:$A$309, Label!$B$2:$B$309)</f>
        <v>#NAME?</v>
      </c>
      <c r="J216" s="2" t="e">
        <f t="array" aca="1" ref="J216" ca="1">_xludf.XLOOKUP(G216,Label!$A$2:$A$309, Label!$C$2:$C$309)</f>
        <v>#NAME?</v>
      </c>
    </row>
    <row r="217" spans="1:10" ht="13">
      <c r="A217" s="4" t="s">
        <v>222</v>
      </c>
      <c r="B217" s="2" t="str">
        <f t="shared" si="0"/>
        <v>OK</v>
      </c>
      <c r="C217" s="5" t="s">
        <v>253</v>
      </c>
      <c r="E217" s="2" t="str">
        <f t="shared" si="1"/>
        <v>OK</v>
      </c>
      <c r="G217" s="5" t="s">
        <v>253</v>
      </c>
      <c r="H217" s="2" t="str">
        <f t="shared" si="2"/>
        <v>OK</v>
      </c>
      <c r="I217" s="2" t="e">
        <f t="array" aca="1" ref="I217" ca="1">_xludf.XLOOKUP(G217,Label!$A$2:$A$309, Label!$B$2:$B$309)</f>
        <v>#NAME?</v>
      </c>
      <c r="J217" s="2" t="e">
        <f t="array" aca="1" ref="J217" ca="1">_xludf.XLOOKUP(G217,Label!$A$2:$A$309, Label!$C$2:$C$309)</f>
        <v>#NAME?</v>
      </c>
    </row>
    <row r="218" spans="1:10" ht="13">
      <c r="A218" s="4" t="s">
        <v>223</v>
      </c>
      <c r="B218" s="2" t="str">
        <f t="shared" si="0"/>
        <v>OK</v>
      </c>
      <c r="C218" s="5" t="s">
        <v>254</v>
      </c>
      <c r="E218" s="2" t="str">
        <f t="shared" si="1"/>
        <v>OK</v>
      </c>
      <c r="G218" s="5" t="s">
        <v>254</v>
      </c>
      <c r="H218" s="2" t="str">
        <f t="shared" si="2"/>
        <v>OK</v>
      </c>
      <c r="I218" s="2" t="e">
        <f t="array" aca="1" ref="I218" ca="1">_xludf.XLOOKUP(G218,Label!$A$2:$A$309, Label!$B$2:$B$309)</f>
        <v>#NAME?</v>
      </c>
      <c r="J218" s="2" t="e">
        <f t="array" aca="1" ref="J218" ca="1">_xludf.XLOOKUP(G218,Label!$A$2:$A$309, Label!$C$2:$C$309)</f>
        <v>#NAME?</v>
      </c>
    </row>
    <row r="219" spans="1:10" ht="13">
      <c r="A219" s="4" t="s">
        <v>224</v>
      </c>
      <c r="B219" s="2" t="str">
        <f t="shared" si="0"/>
        <v>OK</v>
      </c>
      <c r="C219" s="5" t="s">
        <v>255</v>
      </c>
      <c r="E219" s="2" t="str">
        <f t="shared" si="1"/>
        <v>OK</v>
      </c>
      <c r="G219" s="5" t="s">
        <v>255</v>
      </c>
      <c r="H219" s="2" t="str">
        <f t="shared" si="2"/>
        <v>OK</v>
      </c>
      <c r="I219" s="2" t="e">
        <f t="array" aca="1" ref="I219" ca="1">_xludf.XLOOKUP(G219,Label!$A$2:$A$309, Label!$B$2:$B$309)</f>
        <v>#NAME?</v>
      </c>
      <c r="J219" s="2" t="e">
        <f t="array" aca="1" ref="J219" ca="1">_xludf.XLOOKUP(G219,Label!$A$2:$A$309, Label!$C$2:$C$309)</f>
        <v>#NAME?</v>
      </c>
    </row>
    <row r="220" spans="1:10" ht="13">
      <c r="A220" s="4" t="s">
        <v>225</v>
      </c>
      <c r="B220" s="2" t="str">
        <f t="shared" si="0"/>
        <v>OK</v>
      </c>
      <c r="C220" s="5" t="s">
        <v>256</v>
      </c>
      <c r="E220" s="2" t="str">
        <f t="shared" si="1"/>
        <v>OK</v>
      </c>
      <c r="G220" s="5" t="s">
        <v>256</v>
      </c>
      <c r="H220" s="2" t="str">
        <f t="shared" si="2"/>
        <v>OK</v>
      </c>
      <c r="I220" s="2" t="e">
        <f t="array" aca="1" ref="I220" ca="1">_xludf.XLOOKUP(G220,Label!$A$2:$A$309, Label!$B$2:$B$309)</f>
        <v>#NAME?</v>
      </c>
      <c r="J220" s="2" t="e">
        <f t="array" aca="1" ref="J220" ca="1">_xludf.XLOOKUP(G220,Label!$A$2:$A$309, Label!$C$2:$C$309)</f>
        <v>#NAME?</v>
      </c>
    </row>
    <row r="221" spans="1:10" ht="13">
      <c r="A221" s="4" t="s">
        <v>226</v>
      </c>
      <c r="B221" s="2" t="str">
        <f t="shared" si="0"/>
        <v>OK</v>
      </c>
      <c r="C221" s="5" t="s">
        <v>257</v>
      </c>
      <c r="E221" s="2" t="str">
        <f t="shared" si="1"/>
        <v>OK</v>
      </c>
      <c r="G221" s="5" t="s">
        <v>257</v>
      </c>
      <c r="H221" s="2" t="str">
        <f t="shared" si="2"/>
        <v>OK</v>
      </c>
      <c r="I221" s="2" t="e">
        <f t="array" aca="1" ref="I221" ca="1">_xludf.XLOOKUP(G221,Label!$A$2:$A$309, Label!$B$2:$B$309)</f>
        <v>#NAME?</v>
      </c>
      <c r="J221" s="2" t="e">
        <f t="array" aca="1" ref="J221" ca="1">_xludf.XLOOKUP(G221,Label!$A$2:$A$309, Label!$C$2:$C$309)</f>
        <v>#NAME?</v>
      </c>
    </row>
    <row r="222" spans="1:10" ht="13">
      <c r="A222" s="4" t="s">
        <v>227</v>
      </c>
      <c r="B222" s="2" t="str">
        <f t="shared" si="0"/>
        <v>OK</v>
      </c>
      <c r="C222" s="5" t="s">
        <v>258</v>
      </c>
      <c r="E222" s="2" t="str">
        <f t="shared" si="1"/>
        <v>OK</v>
      </c>
      <c r="G222" s="5" t="s">
        <v>258</v>
      </c>
      <c r="H222" s="2" t="str">
        <f t="shared" si="2"/>
        <v>OK</v>
      </c>
      <c r="I222" s="2" t="e">
        <f t="array" aca="1" ref="I222" ca="1">_xludf.XLOOKUP(G222,Label!$A$2:$A$309, Label!$B$2:$B$309)</f>
        <v>#NAME?</v>
      </c>
      <c r="J222" s="2" t="e">
        <f t="array" aca="1" ref="J222" ca="1">_xludf.XLOOKUP(G222,Label!$A$2:$A$309, Label!$C$2:$C$309)</f>
        <v>#NAME?</v>
      </c>
    </row>
    <row r="223" spans="1:10" ht="13">
      <c r="A223" s="4" t="s">
        <v>228</v>
      </c>
      <c r="B223" s="2" t="str">
        <f t="shared" si="0"/>
        <v>OK</v>
      </c>
      <c r="C223" s="5" t="s">
        <v>259</v>
      </c>
      <c r="E223" s="2" t="str">
        <f t="shared" si="1"/>
        <v>OK</v>
      </c>
      <c r="G223" s="5" t="s">
        <v>259</v>
      </c>
      <c r="H223" s="2" t="str">
        <f t="shared" si="2"/>
        <v>OK</v>
      </c>
      <c r="I223" s="2" t="e">
        <f t="array" aca="1" ref="I223" ca="1">_xludf.XLOOKUP(G223,Label!$A$2:$A$309, Label!$B$2:$B$309)</f>
        <v>#NAME?</v>
      </c>
      <c r="J223" s="2" t="e">
        <f t="array" aca="1" ref="J223" ca="1">_xludf.XLOOKUP(G223,Label!$A$2:$A$309, Label!$C$2:$C$309)</f>
        <v>#NAME?</v>
      </c>
    </row>
    <row r="224" spans="1:10" ht="13">
      <c r="A224" s="4" t="s">
        <v>229</v>
      </c>
      <c r="B224" s="2" t="str">
        <f t="shared" si="0"/>
        <v>OK</v>
      </c>
      <c r="C224" s="5" t="s">
        <v>260</v>
      </c>
      <c r="E224" s="2" t="str">
        <f t="shared" si="1"/>
        <v>OK</v>
      </c>
      <c r="G224" s="5" t="s">
        <v>260</v>
      </c>
      <c r="H224" s="2" t="str">
        <f t="shared" si="2"/>
        <v>OK</v>
      </c>
      <c r="I224" s="2" t="e">
        <f t="array" aca="1" ref="I224" ca="1">_xludf.XLOOKUP(G224,Label!$A$2:$A$309, Label!$B$2:$B$309)</f>
        <v>#NAME?</v>
      </c>
      <c r="J224" s="2" t="e">
        <f t="array" aca="1" ref="J224" ca="1">_xludf.XLOOKUP(G224,Label!$A$2:$A$309, Label!$C$2:$C$309)</f>
        <v>#NAME?</v>
      </c>
    </row>
    <row r="225" spans="1:10" ht="13">
      <c r="A225" s="4" t="s">
        <v>230</v>
      </c>
      <c r="B225" s="2" t="str">
        <f t="shared" si="0"/>
        <v>OK</v>
      </c>
      <c r="C225" s="5" t="s">
        <v>261</v>
      </c>
      <c r="E225" s="2" t="str">
        <f t="shared" si="1"/>
        <v>OK</v>
      </c>
      <c r="G225" s="5" t="s">
        <v>261</v>
      </c>
      <c r="H225" s="2" t="str">
        <f t="shared" si="2"/>
        <v>OK</v>
      </c>
      <c r="I225" s="2" t="e">
        <f t="array" aca="1" ref="I225" ca="1">_xludf.XLOOKUP(G225,Label!$A$2:$A$309, Label!$B$2:$B$309)</f>
        <v>#NAME?</v>
      </c>
      <c r="J225" s="2" t="e">
        <f t="array" aca="1" ref="J225" ca="1">_xludf.XLOOKUP(G225,Label!$A$2:$A$309, Label!$C$2:$C$309)</f>
        <v>#NAME?</v>
      </c>
    </row>
    <row r="226" spans="1:10" ht="13">
      <c r="A226" s="4" t="s">
        <v>231</v>
      </c>
      <c r="B226" s="2" t="str">
        <f t="shared" si="0"/>
        <v>OK</v>
      </c>
      <c r="C226" s="5" t="s">
        <v>262</v>
      </c>
      <c r="E226" s="2" t="str">
        <f t="shared" si="1"/>
        <v>OK</v>
      </c>
      <c r="G226" s="5" t="s">
        <v>262</v>
      </c>
      <c r="H226" s="2" t="str">
        <f t="shared" si="2"/>
        <v>OK</v>
      </c>
      <c r="I226" s="2" t="e">
        <f t="array" aca="1" ref="I226" ca="1">_xludf.XLOOKUP(G226,Label!$A$2:$A$309, Label!$B$2:$B$309)</f>
        <v>#NAME?</v>
      </c>
      <c r="J226" s="2" t="e">
        <f t="array" aca="1" ref="J226" ca="1">_xludf.XLOOKUP(G226,Label!$A$2:$A$309, Label!$C$2:$C$309)</f>
        <v>#NAME?</v>
      </c>
    </row>
    <row r="227" spans="1:10" ht="13">
      <c r="A227" s="4" t="s">
        <v>232</v>
      </c>
      <c r="B227" s="2" t="str">
        <f t="shared" si="0"/>
        <v>OK</v>
      </c>
      <c r="C227" s="5" t="s">
        <v>263</v>
      </c>
      <c r="E227" s="2" t="str">
        <f t="shared" si="1"/>
        <v>OK</v>
      </c>
      <c r="G227" s="5" t="s">
        <v>263</v>
      </c>
      <c r="H227" s="2" t="str">
        <f t="shared" si="2"/>
        <v>OK</v>
      </c>
      <c r="I227" s="2" t="e">
        <f t="array" aca="1" ref="I227" ca="1">_xludf.XLOOKUP(G227,Label!$A$2:$A$309, Label!$B$2:$B$309)</f>
        <v>#NAME?</v>
      </c>
      <c r="J227" s="2" t="e">
        <f t="array" aca="1" ref="J227" ca="1">_xludf.XLOOKUP(G227,Label!$A$2:$A$309, Label!$C$2:$C$309)</f>
        <v>#NAME?</v>
      </c>
    </row>
    <row r="228" spans="1:10" ht="13">
      <c r="A228" s="4" t="s">
        <v>233</v>
      </c>
      <c r="B228" s="2" t="str">
        <f t="shared" si="0"/>
        <v>OK</v>
      </c>
      <c r="C228" s="5" t="s">
        <v>264</v>
      </c>
      <c r="E228" s="2" t="str">
        <f t="shared" si="1"/>
        <v>OK</v>
      </c>
      <c r="G228" s="5" t="s">
        <v>264</v>
      </c>
      <c r="H228" s="2" t="str">
        <f t="shared" si="2"/>
        <v>OK</v>
      </c>
      <c r="I228" s="2" t="e">
        <f t="array" aca="1" ref="I228" ca="1">_xludf.XLOOKUP(G228,Label!$A$2:$A$309, Label!$B$2:$B$309)</f>
        <v>#NAME?</v>
      </c>
      <c r="J228" s="2" t="e">
        <f t="array" aca="1" ref="J228" ca="1">_xludf.XLOOKUP(G228,Label!$A$2:$A$309, Label!$C$2:$C$309)</f>
        <v>#NAME?</v>
      </c>
    </row>
    <row r="229" spans="1:10" ht="13">
      <c r="A229" s="4" t="s">
        <v>234</v>
      </c>
      <c r="B229" s="2" t="str">
        <f t="shared" si="0"/>
        <v>OK</v>
      </c>
      <c r="C229" s="5" t="s">
        <v>265</v>
      </c>
      <c r="E229" s="2" t="str">
        <f t="shared" si="1"/>
        <v>OK</v>
      </c>
      <c r="G229" s="5" t="s">
        <v>265</v>
      </c>
      <c r="H229" s="2" t="str">
        <f t="shared" si="2"/>
        <v>OK</v>
      </c>
      <c r="I229" s="2" t="e">
        <f t="array" aca="1" ref="I229" ca="1">_xludf.XLOOKUP(G229,Label!$A$2:$A$309, Label!$B$2:$B$309)</f>
        <v>#NAME?</v>
      </c>
      <c r="J229" s="2" t="e">
        <f t="array" aca="1" ref="J229" ca="1">_xludf.XLOOKUP(G229,Label!$A$2:$A$309, Label!$C$2:$C$309)</f>
        <v>#NAME?</v>
      </c>
    </row>
    <row r="230" spans="1:10" ht="13">
      <c r="A230" s="4" t="s">
        <v>235</v>
      </c>
      <c r="B230" s="2" t="str">
        <f t="shared" si="0"/>
        <v>OK</v>
      </c>
      <c r="C230" s="5" t="s">
        <v>266</v>
      </c>
      <c r="E230" s="2" t="str">
        <f t="shared" si="1"/>
        <v>OK</v>
      </c>
      <c r="G230" s="5" t="s">
        <v>266</v>
      </c>
      <c r="H230" s="2" t="str">
        <f t="shared" si="2"/>
        <v>OK</v>
      </c>
      <c r="I230" s="2" t="e">
        <f t="array" aca="1" ref="I230" ca="1">_xludf.XLOOKUP(G230,Label!$A$2:$A$309, Label!$B$2:$B$309)</f>
        <v>#NAME?</v>
      </c>
      <c r="J230" s="2" t="e">
        <f t="array" aca="1" ref="J230" ca="1">_xludf.XLOOKUP(G230,Label!$A$2:$A$309, Label!$C$2:$C$309)</f>
        <v>#NAME?</v>
      </c>
    </row>
    <row r="231" spans="1:10" ht="13">
      <c r="A231" s="4" t="s">
        <v>236</v>
      </c>
      <c r="B231" s="2" t="str">
        <f t="shared" si="0"/>
        <v>OK</v>
      </c>
      <c r="C231" s="5" t="s">
        <v>267</v>
      </c>
      <c r="E231" s="2" t="str">
        <f t="shared" si="1"/>
        <v>OK</v>
      </c>
      <c r="G231" s="5" t="s">
        <v>267</v>
      </c>
      <c r="H231" s="2" t="str">
        <f t="shared" si="2"/>
        <v>OK</v>
      </c>
      <c r="I231" s="2" t="e">
        <f t="array" aca="1" ref="I231" ca="1">_xludf.XLOOKUP(G231,Label!$A$2:$A$309, Label!$B$2:$B$309)</f>
        <v>#NAME?</v>
      </c>
      <c r="J231" s="2" t="e">
        <f t="array" aca="1" ref="J231" ca="1">_xludf.XLOOKUP(G231,Label!$A$2:$A$309, Label!$C$2:$C$309)</f>
        <v>#NAME?</v>
      </c>
    </row>
    <row r="232" spans="1:10" ht="13">
      <c r="A232" s="4" t="s">
        <v>237</v>
      </c>
      <c r="B232" s="2" t="str">
        <f t="shared" si="0"/>
        <v>OK</v>
      </c>
      <c r="C232" s="5" t="s">
        <v>268</v>
      </c>
      <c r="E232" s="2" t="str">
        <f t="shared" si="1"/>
        <v>OK</v>
      </c>
      <c r="G232" s="5" t="s">
        <v>268</v>
      </c>
      <c r="H232" s="2" t="str">
        <f t="shared" si="2"/>
        <v>OK</v>
      </c>
      <c r="I232" s="2" t="e">
        <f t="array" aca="1" ref="I232" ca="1">_xludf.XLOOKUP(G232,Label!$A$2:$A$309, Label!$B$2:$B$309)</f>
        <v>#NAME?</v>
      </c>
      <c r="J232" s="2" t="e">
        <f t="array" aca="1" ref="J232" ca="1">_xludf.XLOOKUP(G232,Label!$A$2:$A$309, Label!$C$2:$C$309)</f>
        <v>#NAME?</v>
      </c>
    </row>
    <row r="233" spans="1:10" ht="13">
      <c r="A233" s="4" t="s">
        <v>238</v>
      </c>
      <c r="B233" s="2" t="str">
        <f t="shared" si="0"/>
        <v>OK</v>
      </c>
      <c r="C233" s="5" t="s">
        <v>269</v>
      </c>
      <c r="E233" s="2" t="str">
        <f t="shared" si="1"/>
        <v>OK</v>
      </c>
      <c r="G233" s="5" t="s">
        <v>269</v>
      </c>
      <c r="H233" s="2" t="str">
        <f t="shared" si="2"/>
        <v>OK</v>
      </c>
      <c r="I233" s="2" t="e">
        <f t="array" aca="1" ref="I233" ca="1">_xludf.XLOOKUP(G233,Label!$A$2:$A$309, Label!$B$2:$B$309)</f>
        <v>#NAME?</v>
      </c>
      <c r="J233" s="2" t="e">
        <f t="array" aca="1" ref="J233" ca="1">_xludf.XLOOKUP(G233,Label!$A$2:$A$309, Label!$C$2:$C$309)</f>
        <v>#NAME?</v>
      </c>
    </row>
    <row r="234" spans="1:10" ht="13">
      <c r="A234" s="4" t="s">
        <v>240</v>
      </c>
      <c r="B234" s="2" t="str">
        <f t="shared" si="0"/>
        <v>OK</v>
      </c>
      <c r="C234" s="5" t="s">
        <v>270</v>
      </c>
      <c r="E234" s="2" t="str">
        <f t="shared" si="1"/>
        <v>OK</v>
      </c>
      <c r="G234" s="5" t="s">
        <v>270</v>
      </c>
      <c r="H234" s="2" t="str">
        <f t="shared" si="2"/>
        <v>OK</v>
      </c>
      <c r="I234" s="2" t="e">
        <f t="array" aca="1" ref="I234" ca="1">_xludf.XLOOKUP(G234,Label!$A$2:$A$309, Label!$B$2:$B$309)</f>
        <v>#NAME?</v>
      </c>
      <c r="J234" s="2" t="e">
        <f t="array" aca="1" ref="J234" ca="1">_xludf.XLOOKUP(G234,Label!$A$2:$A$309, Label!$C$2:$C$309)</f>
        <v>#NAME?</v>
      </c>
    </row>
    <row r="235" spans="1:10" ht="13">
      <c r="A235" s="4" t="s">
        <v>241</v>
      </c>
      <c r="B235" s="2" t="str">
        <f t="shared" si="0"/>
        <v>OK</v>
      </c>
      <c r="C235" s="5" t="s">
        <v>271</v>
      </c>
      <c r="E235" s="2" t="str">
        <f t="shared" si="1"/>
        <v>OK</v>
      </c>
      <c r="G235" s="5" t="s">
        <v>271</v>
      </c>
      <c r="H235" s="2" t="str">
        <f t="shared" si="2"/>
        <v>OK</v>
      </c>
      <c r="I235" s="2" t="e">
        <f t="array" aca="1" ref="I235" ca="1">_xludf.XLOOKUP(G235,Label!$A$2:$A$309, Label!$B$2:$B$309)</f>
        <v>#NAME?</v>
      </c>
      <c r="J235" s="2" t="e">
        <f t="array" aca="1" ref="J235" ca="1">_xludf.XLOOKUP(G235,Label!$A$2:$A$309, Label!$C$2:$C$309)</f>
        <v>#NAME?</v>
      </c>
    </row>
    <row r="236" spans="1:10" ht="13">
      <c r="A236" s="4" t="s">
        <v>242</v>
      </c>
      <c r="B236" s="2" t="str">
        <f t="shared" si="0"/>
        <v>OK</v>
      </c>
      <c r="C236" s="5" t="s">
        <v>272</v>
      </c>
      <c r="E236" s="2" t="str">
        <f t="shared" si="1"/>
        <v>OK</v>
      </c>
      <c r="G236" s="5" t="s">
        <v>272</v>
      </c>
      <c r="H236" s="2" t="str">
        <f t="shared" si="2"/>
        <v>OK</v>
      </c>
      <c r="I236" s="2" t="e">
        <f t="array" aca="1" ref="I236" ca="1">_xludf.XLOOKUP(G236,Label!$A$2:$A$309, Label!$B$2:$B$309)</f>
        <v>#NAME?</v>
      </c>
      <c r="J236" s="2" t="e">
        <f t="array" aca="1" ref="J236" ca="1">_xludf.XLOOKUP(G236,Label!$A$2:$A$309, Label!$C$2:$C$309)</f>
        <v>#NAME?</v>
      </c>
    </row>
    <row r="237" spans="1:10" ht="13">
      <c r="A237" s="4" t="s">
        <v>243</v>
      </c>
      <c r="B237" s="2" t="str">
        <f t="shared" si="0"/>
        <v>OK</v>
      </c>
      <c r="C237" s="5" t="s">
        <v>273</v>
      </c>
      <c r="E237" s="2" t="str">
        <f t="shared" si="1"/>
        <v>OK</v>
      </c>
      <c r="G237" s="5" t="s">
        <v>273</v>
      </c>
      <c r="H237" s="2" t="str">
        <f t="shared" si="2"/>
        <v>OK</v>
      </c>
      <c r="I237" s="2" t="e">
        <f t="array" aca="1" ref="I237" ca="1">_xludf.XLOOKUP(G237,Label!$A$2:$A$309, Label!$B$2:$B$309)</f>
        <v>#NAME?</v>
      </c>
      <c r="J237" s="2" t="e">
        <f t="array" aca="1" ref="J237" ca="1">_xludf.XLOOKUP(G237,Label!$A$2:$A$309, Label!$C$2:$C$309)</f>
        <v>#NAME?</v>
      </c>
    </row>
    <row r="238" spans="1:10" ht="13">
      <c r="A238" s="4" t="s">
        <v>244</v>
      </c>
      <c r="B238" s="2" t="str">
        <f t="shared" si="0"/>
        <v>OK</v>
      </c>
      <c r="C238" s="5" t="s">
        <v>274</v>
      </c>
      <c r="E238" s="2" t="str">
        <f t="shared" si="1"/>
        <v>OK</v>
      </c>
      <c r="G238" s="5" t="s">
        <v>274</v>
      </c>
      <c r="H238" s="2" t="str">
        <f t="shared" si="2"/>
        <v>OK</v>
      </c>
      <c r="I238" s="2" t="e">
        <f t="array" aca="1" ref="I238" ca="1">_xludf.XLOOKUP(G238,Label!$A$2:$A$309, Label!$B$2:$B$309)</f>
        <v>#NAME?</v>
      </c>
      <c r="J238" s="2" t="e">
        <f t="array" aca="1" ref="J238" ca="1">_xludf.XLOOKUP(G238,Label!$A$2:$A$309, Label!$C$2:$C$309)</f>
        <v>#NAME?</v>
      </c>
    </row>
    <row r="239" spans="1:10" ht="13">
      <c r="A239" s="4" t="s">
        <v>245</v>
      </c>
      <c r="B239" s="2" t="str">
        <f t="shared" si="0"/>
        <v>OK</v>
      </c>
      <c r="C239" s="5" t="s">
        <v>275</v>
      </c>
      <c r="E239" s="2" t="str">
        <f t="shared" si="1"/>
        <v>OK</v>
      </c>
      <c r="G239" s="5" t="s">
        <v>275</v>
      </c>
      <c r="H239" s="2" t="str">
        <f t="shared" si="2"/>
        <v>OK</v>
      </c>
      <c r="I239" s="2" t="e">
        <f t="array" aca="1" ref="I239" ca="1">_xludf.XLOOKUP(G239,Label!$A$2:$A$309, Label!$B$2:$B$309)</f>
        <v>#NAME?</v>
      </c>
      <c r="J239" s="2" t="e">
        <f t="array" aca="1" ref="J239" ca="1">_xludf.XLOOKUP(G239,Label!$A$2:$A$309, Label!$C$2:$C$309)</f>
        <v>#NAME?</v>
      </c>
    </row>
    <row r="240" spans="1:10" ht="13">
      <c r="A240" s="4" t="s">
        <v>246</v>
      </c>
      <c r="B240" s="2" t="str">
        <f t="shared" si="0"/>
        <v>OK</v>
      </c>
      <c r="C240" s="5" t="s">
        <v>276</v>
      </c>
      <c r="E240" s="2" t="str">
        <f t="shared" si="1"/>
        <v>OK</v>
      </c>
      <c r="G240" s="5" t="s">
        <v>276</v>
      </c>
      <c r="H240" s="2" t="str">
        <f t="shared" si="2"/>
        <v>OK</v>
      </c>
      <c r="I240" s="2" t="e">
        <f t="array" aca="1" ref="I240" ca="1">_xludf.XLOOKUP(G240,Label!$A$2:$A$309, Label!$B$2:$B$309)</f>
        <v>#NAME?</v>
      </c>
      <c r="J240" s="2" t="e">
        <f t="array" aca="1" ref="J240" ca="1">_xludf.XLOOKUP(G240,Label!$A$2:$A$309, Label!$C$2:$C$309)</f>
        <v>#NAME?</v>
      </c>
    </row>
    <row r="241" spans="1:10" ht="13">
      <c r="A241" s="4" t="s">
        <v>247</v>
      </c>
      <c r="B241" s="2" t="str">
        <f t="shared" si="0"/>
        <v>OK</v>
      </c>
      <c r="C241" s="5" t="s">
        <v>277</v>
      </c>
      <c r="E241" s="2" t="str">
        <f t="shared" si="1"/>
        <v>OK</v>
      </c>
      <c r="G241" s="5" t="s">
        <v>277</v>
      </c>
      <c r="H241" s="2" t="str">
        <f t="shared" si="2"/>
        <v>OK</v>
      </c>
      <c r="I241" s="2" t="e">
        <f t="array" aca="1" ref="I241" ca="1">_xludf.XLOOKUP(G241,Label!$A$2:$A$309, Label!$B$2:$B$309)</f>
        <v>#NAME?</v>
      </c>
      <c r="J241" s="2" t="e">
        <f t="array" aca="1" ref="J241" ca="1">_xludf.XLOOKUP(G241,Label!$A$2:$A$309, Label!$C$2:$C$309)</f>
        <v>#NAME?</v>
      </c>
    </row>
    <row r="242" spans="1:10" ht="13">
      <c r="A242" s="4" t="s">
        <v>248</v>
      </c>
      <c r="B242" s="2" t="str">
        <f t="shared" si="0"/>
        <v>OK</v>
      </c>
      <c r="C242" s="5" t="s">
        <v>278</v>
      </c>
      <c r="E242" s="2" t="str">
        <f t="shared" si="1"/>
        <v>OK</v>
      </c>
      <c r="G242" s="5" t="s">
        <v>278</v>
      </c>
      <c r="H242" s="2" t="str">
        <f t="shared" si="2"/>
        <v>OK</v>
      </c>
      <c r="I242" s="2" t="e">
        <f t="array" aca="1" ref="I242" ca="1">_xludf.XLOOKUP(G242,Label!$A$2:$A$309, Label!$B$2:$B$309)</f>
        <v>#NAME?</v>
      </c>
      <c r="J242" s="2" t="e">
        <f t="array" aca="1" ref="J242" ca="1">_xludf.XLOOKUP(G242,Label!$A$2:$A$309, Label!$C$2:$C$309)</f>
        <v>#NAME?</v>
      </c>
    </row>
    <row r="243" spans="1:10" ht="13">
      <c r="A243" s="4" t="s">
        <v>249</v>
      </c>
      <c r="B243" s="2" t="str">
        <f t="shared" si="0"/>
        <v>OK</v>
      </c>
      <c r="C243" s="5" t="s">
        <v>279</v>
      </c>
      <c r="E243" s="2" t="str">
        <f t="shared" si="1"/>
        <v>OK</v>
      </c>
      <c r="G243" s="5" t="s">
        <v>279</v>
      </c>
      <c r="H243" s="2" t="str">
        <f t="shared" si="2"/>
        <v>OK</v>
      </c>
      <c r="I243" s="2" t="e">
        <f t="array" aca="1" ref="I243" ca="1">_xludf.XLOOKUP(G243,Label!$A$2:$A$309, Label!$B$2:$B$309)</f>
        <v>#NAME?</v>
      </c>
      <c r="J243" s="2" t="e">
        <f t="array" aca="1" ref="J243" ca="1">_xludf.XLOOKUP(G243,Label!$A$2:$A$309, Label!$C$2:$C$309)</f>
        <v>#NAME?</v>
      </c>
    </row>
    <row r="244" spans="1:10" ht="13">
      <c r="A244" s="4" t="s">
        <v>250</v>
      </c>
      <c r="B244" s="2" t="str">
        <f t="shared" si="0"/>
        <v>OK</v>
      </c>
      <c r="C244" s="5" t="s">
        <v>280</v>
      </c>
      <c r="E244" s="2" t="str">
        <f t="shared" si="1"/>
        <v>OK</v>
      </c>
      <c r="G244" s="5" t="s">
        <v>280</v>
      </c>
      <c r="H244" s="2" t="str">
        <f t="shared" si="2"/>
        <v>OK</v>
      </c>
      <c r="I244" s="2" t="e">
        <f t="array" aca="1" ref="I244" ca="1">_xludf.XLOOKUP(G244,Label!$A$2:$A$309, Label!$B$2:$B$309)</f>
        <v>#NAME?</v>
      </c>
      <c r="J244" s="2" t="e">
        <f t="array" aca="1" ref="J244" ca="1">_xludf.XLOOKUP(G244,Label!$A$2:$A$309, Label!$C$2:$C$309)</f>
        <v>#NAME?</v>
      </c>
    </row>
    <row r="245" spans="1:10" ht="13">
      <c r="A245" s="4" t="s">
        <v>251</v>
      </c>
      <c r="B245" s="2" t="str">
        <f t="shared" si="0"/>
        <v>OK</v>
      </c>
      <c r="C245" s="5" t="s">
        <v>281</v>
      </c>
      <c r="E245" s="2" t="str">
        <f t="shared" si="1"/>
        <v>OK</v>
      </c>
      <c r="G245" s="5" t="s">
        <v>281</v>
      </c>
      <c r="H245" s="2" t="str">
        <f t="shared" si="2"/>
        <v>OK</v>
      </c>
      <c r="I245" s="2" t="e">
        <f t="array" aca="1" ref="I245" ca="1">_xludf.XLOOKUP(G245,Label!$A$2:$A$309, Label!$B$2:$B$309)</f>
        <v>#NAME?</v>
      </c>
      <c r="J245" s="2" t="e">
        <f t="array" aca="1" ref="J245" ca="1">_xludf.XLOOKUP(G245,Label!$A$2:$A$309, Label!$C$2:$C$309)</f>
        <v>#NAME?</v>
      </c>
    </row>
    <row r="246" spans="1:10" ht="13">
      <c r="A246" s="4" t="s">
        <v>252</v>
      </c>
      <c r="B246" s="2" t="str">
        <f t="shared" si="0"/>
        <v>OK</v>
      </c>
      <c r="C246" s="5" t="s">
        <v>282</v>
      </c>
      <c r="E246" s="2" t="str">
        <f t="shared" si="1"/>
        <v>OK</v>
      </c>
      <c r="G246" s="5" t="s">
        <v>282</v>
      </c>
      <c r="H246" s="2" t="str">
        <f t="shared" si="2"/>
        <v>OK</v>
      </c>
      <c r="I246" s="2" t="e">
        <f t="array" aca="1" ref="I246" ca="1">_xludf.XLOOKUP(G246,Label!$A$2:$A$309, Label!$B$2:$B$309)</f>
        <v>#NAME?</v>
      </c>
      <c r="J246" s="2" t="e">
        <f t="array" aca="1" ref="J246" ca="1">_xludf.XLOOKUP(G246,Label!$A$2:$A$309, Label!$C$2:$C$309)</f>
        <v>#NAME?</v>
      </c>
    </row>
    <row r="247" spans="1:10" ht="13">
      <c r="A247" s="4" t="s">
        <v>253</v>
      </c>
      <c r="B247" s="2" t="str">
        <f t="shared" si="0"/>
        <v>OK</v>
      </c>
      <c r="C247" s="5" t="s">
        <v>283</v>
      </c>
      <c r="E247" s="2" t="str">
        <f t="shared" si="1"/>
        <v>OK</v>
      </c>
      <c r="G247" s="5" t="s">
        <v>283</v>
      </c>
      <c r="H247" s="2" t="str">
        <f t="shared" si="2"/>
        <v>OK</v>
      </c>
      <c r="I247" s="2" t="e">
        <f t="array" aca="1" ref="I247" ca="1">_xludf.XLOOKUP(G247,Label!$A$2:$A$309, Label!$B$2:$B$309)</f>
        <v>#NAME?</v>
      </c>
      <c r="J247" s="2" t="e">
        <f t="array" aca="1" ref="J247" ca="1">_xludf.XLOOKUP(G247,Label!$A$2:$A$309, Label!$C$2:$C$309)</f>
        <v>#NAME?</v>
      </c>
    </row>
    <row r="248" spans="1:10" ht="13">
      <c r="A248" s="4" t="s">
        <v>254</v>
      </c>
      <c r="B248" s="2" t="str">
        <f t="shared" si="0"/>
        <v>OK</v>
      </c>
      <c r="C248" s="5" t="s">
        <v>284</v>
      </c>
      <c r="E248" s="2" t="str">
        <f t="shared" si="1"/>
        <v>OK</v>
      </c>
      <c r="G248" s="5" t="s">
        <v>284</v>
      </c>
      <c r="H248" s="2" t="str">
        <f t="shared" si="2"/>
        <v>OK</v>
      </c>
      <c r="I248" s="2" t="e">
        <f t="array" aca="1" ref="I248" ca="1">_xludf.XLOOKUP(G248,Label!$A$2:$A$309, Label!$B$2:$B$309)</f>
        <v>#NAME?</v>
      </c>
      <c r="J248" s="2" t="e">
        <f t="array" aca="1" ref="J248" ca="1">_xludf.XLOOKUP(G248,Label!$A$2:$A$309, Label!$C$2:$C$309)</f>
        <v>#NAME?</v>
      </c>
    </row>
    <row r="249" spans="1:10" ht="13">
      <c r="A249" s="4" t="s">
        <v>255</v>
      </c>
      <c r="B249" s="2" t="str">
        <f t="shared" si="0"/>
        <v>OK</v>
      </c>
      <c r="C249" s="5" t="s">
        <v>285</v>
      </c>
      <c r="E249" s="2" t="str">
        <f t="shared" si="1"/>
        <v>OK</v>
      </c>
      <c r="G249" s="5" t="s">
        <v>285</v>
      </c>
      <c r="H249" s="2" t="str">
        <f t="shared" si="2"/>
        <v>OK</v>
      </c>
      <c r="I249" s="2" t="e">
        <f t="array" aca="1" ref="I249" ca="1">_xludf.XLOOKUP(G249,Label!$A$2:$A$309, Label!$B$2:$B$309)</f>
        <v>#NAME?</v>
      </c>
      <c r="J249" s="2" t="e">
        <f t="array" aca="1" ref="J249" ca="1">_xludf.XLOOKUP(G249,Label!$A$2:$A$309, Label!$C$2:$C$309)</f>
        <v>#NAME?</v>
      </c>
    </row>
    <row r="250" spans="1:10" ht="13">
      <c r="A250" s="4" t="s">
        <v>256</v>
      </c>
      <c r="B250" s="2" t="str">
        <f t="shared" si="0"/>
        <v>OK</v>
      </c>
      <c r="C250" s="5" t="s">
        <v>286</v>
      </c>
      <c r="E250" s="2" t="str">
        <f t="shared" si="1"/>
        <v>OK</v>
      </c>
      <c r="G250" s="5" t="s">
        <v>286</v>
      </c>
      <c r="H250" s="2" t="str">
        <f t="shared" si="2"/>
        <v>OK</v>
      </c>
      <c r="I250" s="2" t="e">
        <f t="array" aca="1" ref="I250" ca="1">_xludf.XLOOKUP(G250,Label!$A$2:$A$309, Label!$B$2:$B$309)</f>
        <v>#NAME?</v>
      </c>
      <c r="J250" s="2" t="e">
        <f t="array" aca="1" ref="J250" ca="1">_xludf.XLOOKUP(G250,Label!$A$2:$A$309, Label!$C$2:$C$309)</f>
        <v>#NAME?</v>
      </c>
    </row>
    <row r="251" spans="1:10" ht="13">
      <c r="A251" s="4" t="s">
        <v>257</v>
      </c>
      <c r="B251" s="2" t="str">
        <f t="shared" si="0"/>
        <v>OK</v>
      </c>
      <c r="C251" s="5" t="s">
        <v>287</v>
      </c>
      <c r="E251" s="2" t="str">
        <f t="shared" si="1"/>
        <v>OK</v>
      </c>
      <c r="G251" s="5" t="s">
        <v>287</v>
      </c>
      <c r="H251" s="2" t="str">
        <f t="shared" si="2"/>
        <v>OK</v>
      </c>
      <c r="I251" s="2" t="e">
        <f t="array" aca="1" ref="I251" ca="1">_xludf.XLOOKUP(G251,Label!$A$2:$A$309, Label!$B$2:$B$309)</f>
        <v>#NAME?</v>
      </c>
      <c r="J251" s="2" t="e">
        <f t="array" aca="1" ref="J251" ca="1">_xludf.XLOOKUP(G251,Label!$A$2:$A$309, Label!$C$2:$C$309)</f>
        <v>#NAME?</v>
      </c>
    </row>
    <row r="252" spans="1:10" ht="13">
      <c r="A252" s="4" t="s">
        <v>258</v>
      </c>
      <c r="B252" s="2" t="str">
        <f t="shared" si="0"/>
        <v>OK</v>
      </c>
      <c r="C252" s="5" t="s">
        <v>288</v>
      </c>
      <c r="E252" s="2" t="str">
        <f t="shared" si="1"/>
        <v>OK</v>
      </c>
      <c r="G252" s="5" t="s">
        <v>288</v>
      </c>
      <c r="H252" s="2" t="str">
        <f t="shared" si="2"/>
        <v>OK</v>
      </c>
      <c r="I252" s="2" t="e">
        <f t="array" aca="1" ref="I252" ca="1">_xludf.XLOOKUP(G252,Label!$A$2:$A$309, Label!$B$2:$B$309)</f>
        <v>#NAME?</v>
      </c>
      <c r="J252" s="2" t="e">
        <f t="array" aca="1" ref="J252" ca="1">_xludf.XLOOKUP(G252,Label!$A$2:$A$309, Label!$C$2:$C$309)</f>
        <v>#NAME?</v>
      </c>
    </row>
    <row r="253" spans="1:10" ht="13">
      <c r="A253" s="4" t="s">
        <v>259</v>
      </c>
      <c r="B253" s="2" t="str">
        <f t="shared" si="0"/>
        <v>OK</v>
      </c>
      <c r="C253" s="5" t="s">
        <v>289</v>
      </c>
      <c r="E253" s="2" t="str">
        <f t="shared" si="1"/>
        <v>OK</v>
      </c>
      <c r="G253" s="5" t="s">
        <v>289</v>
      </c>
      <c r="H253" s="2" t="str">
        <f t="shared" si="2"/>
        <v>OK</v>
      </c>
      <c r="I253" s="2" t="e">
        <f t="array" aca="1" ref="I253" ca="1">_xludf.XLOOKUP(G253,Label!$A$2:$A$309, Label!$B$2:$B$309)</f>
        <v>#NAME?</v>
      </c>
      <c r="J253" s="2" t="e">
        <f t="array" aca="1" ref="J253" ca="1">_xludf.XLOOKUP(G253,Label!$A$2:$A$309, Label!$C$2:$C$309)</f>
        <v>#NAME?</v>
      </c>
    </row>
    <row r="254" spans="1:10" ht="13">
      <c r="A254" s="4" t="s">
        <v>260</v>
      </c>
      <c r="B254" s="2" t="str">
        <f t="shared" si="0"/>
        <v>OK</v>
      </c>
      <c r="C254" s="5" t="s">
        <v>290</v>
      </c>
      <c r="E254" s="2" t="str">
        <f t="shared" si="1"/>
        <v>OK</v>
      </c>
      <c r="G254" s="5" t="s">
        <v>290</v>
      </c>
      <c r="H254" s="2" t="str">
        <f t="shared" si="2"/>
        <v>OK</v>
      </c>
      <c r="I254" s="2" t="e">
        <f t="array" aca="1" ref="I254" ca="1">_xludf.XLOOKUP(G254,Label!$A$2:$A$309, Label!$B$2:$B$309)</f>
        <v>#NAME?</v>
      </c>
      <c r="J254" s="2" t="e">
        <f t="array" aca="1" ref="J254" ca="1">_xludf.XLOOKUP(G254,Label!$A$2:$A$309, Label!$C$2:$C$309)</f>
        <v>#NAME?</v>
      </c>
    </row>
    <row r="255" spans="1:10" ht="13">
      <c r="A255" s="4" t="s">
        <v>261</v>
      </c>
      <c r="B255" s="2" t="str">
        <f t="shared" si="0"/>
        <v>OK</v>
      </c>
      <c r="C255" s="5" t="s">
        <v>291</v>
      </c>
      <c r="E255" s="2" t="str">
        <f t="shared" si="1"/>
        <v>OK</v>
      </c>
      <c r="G255" s="5" t="s">
        <v>291</v>
      </c>
      <c r="H255" s="2" t="str">
        <f t="shared" si="2"/>
        <v>OK</v>
      </c>
      <c r="I255" s="2" t="e">
        <f t="array" aca="1" ref="I255" ca="1">_xludf.XLOOKUP(G255,Label!$A$2:$A$309, Label!$B$2:$B$309)</f>
        <v>#NAME?</v>
      </c>
      <c r="J255" s="2" t="e">
        <f t="array" aca="1" ref="J255" ca="1">_xludf.XLOOKUP(G255,Label!$A$2:$A$309, Label!$C$2:$C$309)</f>
        <v>#NAME?</v>
      </c>
    </row>
    <row r="256" spans="1:10" ht="13">
      <c r="A256" s="4" t="s">
        <v>262</v>
      </c>
      <c r="B256" s="2" t="str">
        <f t="shared" ref="B256:B340" si="3">IF(COUNTIF(C:C, A256) = 0, "no", IF(COUNTIF(C:C, A256) = 1, "OK", "duplicate"))</f>
        <v>OK</v>
      </c>
      <c r="C256" s="5" t="s">
        <v>292</v>
      </c>
      <c r="E256" s="2" t="str">
        <f t="shared" ref="E256:E335" si="4">IF(COUNTIF(A:A, C256) = 0, "no", IF(COUNTIF(A:A, C256) = 1, "OK", "duplicate"))</f>
        <v>OK</v>
      </c>
      <c r="G256" s="5" t="s">
        <v>292</v>
      </c>
      <c r="H256" s="2" t="str">
        <f t="shared" ref="H256:H344" si="5">IF(COUNTIF(A:A, G256) = 0, "no", IF(COUNTIF(A:A, G256) = 1, "OK", "duplicate"))</f>
        <v>OK</v>
      </c>
      <c r="I256" s="2" t="e">
        <f t="array" aca="1" ref="I256" ca="1">_xludf.XLOOKUP(G256,Label!$A$2:$A$309, Label!$B$2:$B$309)</f>
        <v>#NAME?</v>
      </c>
      <c r="J256" s="2" t="e">
        <f t="array" aca="1" ref="J256" ca="1">_xludf.XLOOKUP(G256,Label!$A$2:$A$309, Label!$C$2:$C$309)</f>
        <v>#NAME?</v>
      </c>
    </row>
    <row r="257" spans="1:10" ht="13">
      <c r="A257" s="4" t="s">
        <v>263</v>
      </c>
      <c r="B257" s="2" t="str">
        <f t="shared" si="3"/>
        <v>OK</v>
      </c>
      <c r="C257" s="5" t="s">
        <v>293</v>
      </c>
      <c r="E257" s="2" t="str">
        <f t="shared" si="4"/>
        <v>OK</v>
      </c>
      <c r="G257" s="5" t="s">
        <v>293</v>
      </c>
      <c r="H257" s="2" t="str">
        <f t="shared" si="5"/>
        <v>OK</v>
      </c>
      <c r="I257" s="2" t="e">
        <f t="array" aca="1" ref="I257" ca="1">_xludf.XLOOKUP(G257,Label!$A$2:$A$309, Label!$B$2:$B$309)</f>
        <v>#NAME?</v>
      </c>
      <c r="J257" s="2" t="e">
        <f t="array" aca="1" ref="J257" ca="1">_xludf.XLOOKUP(G257,Label!$A$2:$A$309, Label!$C$2:$C$309)</f>
        <v>#NAME?</v>
      </c>
    </row>
    <row r="258" spans="1:10" ht="13">
      <c r="A258" s="4" t="s">
        <v>264</v>
      </c>
      <c r="B258" s="2" t="str">
        <f t="shared" si="3"/>
        <v>OK</v>
      </c>
      <c r="C258" s="5" t="s">
        <v>294</v>
      </c>
      <c r="E258" s="2" t="str">
        <f t="shared" si="4"/>
        <v>OK</v>
      </c>
      <c r="G258" s="5" t="s">
        <v>294</v>
      </c>
      <c r="H258" s="2" t="str">
        <f t="shared" si="5"/>
        <v>OK</v>
      </c>
      <c r="I258" s="2" t="e">
        <f t="array" aca="1" ref="I258" ca="1">_xludf.XLOOKUP(G258,Label!$A$2:$A$309, Label!$B$2:$B$309)</f>
        <v>#NAME?</v>
      </c>
      <c r="J258" s="2" t="e">
        <f t="array" aca="1" ref="J258" ca="1">_xludf.XLOOKUP(G258,Label!$A$2:$A$309, Label!$C$2:$C$309)</f>
        <v>#NAME?</v>
      </c>
    </row>
    <row r="259" spans="1:10" ht="13">
      <c r="A259" s="4" t="s">
        <v>265</v>
      </c>
      <c r="B259" s="2" t="str">
        <f t="shared" si="3"/>
        <v>OK</v>
      </c>
      <c r="C259" s="5" t="s">
        <v>295</v>
      </c>
      <c r="E259" s="2" t="str">
        <f t="shared" si="4"/>
        <v>OK</v>
      </c>
      <c r="G259" s="5" t="s">
        <v>295</v>
      </c>
      <c r="H259" s="2" t="str">
        <f t="shared" si="5"/>
        <v>OK</v>
      </c>
      <c r="I259" s="2" t="e">
        <f t="array" aca="1" ref="I259" ca="1">_xludf.XLOOKUP(G259,Label!$A$2:$A$309, Label!$B$2:$B$309)</f>
        <v>#NAME?</v>
      </c>
      <c r="J259" s="2" t="e">
        <f t="array" aca="1" ref="J259" ca="1">_xludf.XLOOKUP(G259,Label!$A$2:$A$309, Label!$C$2:$C$309)</f>
        <v>#NAME?</v>
      </c>
    </row>
    <row r="260" spans="1:10" ht="13">
      <c r="A260" s="4" t="s">
        <v>266</v>
      </c>
      <c r="B260" s="2" t="str">
        <f t="shared" si="3"/>
        <v>OK</v>
      </c>
      <c r="C260" s="5" t="s">
        <v>296</v>
      </c>
      <c r="E260" s="2" t="str">
        <f t="shared" si="4"/>
        <v>OK</v>
      </c>
      <c r="G260" s="5" t="s">
        <v>296</v>
      </c>
      <c r="H260" s="2" t="str">
        <f t="shared" si="5"/>
        <v>OK</v>
      </c>
      <c r="I260" s="2" t="e">
        <f t="array" aca="1" ref="I260" ca="1">_xludf.XLOOKUP(G260,Label!$A$2:$A$309, Label!$B$2:$B$309)</f>
        <v>#NAME?</v>
      </c>
      <c r="J260" s="2" t="e">
        <f t="array" aca="1" ref="J260" ca="1">_xludf.XLOOKUP(G260,Label!$A$2:$A$309, Label!$C$2:$C$309)</f>
        <v>#NAME?</v>
      </c>
    </row>
    <row r="261" spans="1:10" ht="13">
      <c r="A261" s="4" t="s">
        <v>267</v>
      </c>
      <c r="B261" s="2" t="str">
        <f t="shared" si="3"/>
        <v>OK</v>
      </c>
      <c r="C261" s="5" t="s">
        <v>297</v>
      </c>
      <c r="E261" s="2" t="str">
        <f t="shared" si="4"/>
        <v>OK</v>
      </c>
      <c r="G261" s="5" t="s">
        <v>297</v>
      </c>
      <c r="H261" s="2" t="str">
        <f t="shared" si="5"/>
        <v>OK</v>
      </c>
      <c r="I261" s="2" t="e">
        <f t="array" aca="1" ref="I261" ca="1">_xludf.XLOOKUP(G261,Label!$A$2:$A$309, Label!$B$2:$B$309)</f>
        <v>#NAME?</v>
      </c>
      <c r="J261" s="2" t="e">
        <f t="array" aca="1" ref="J261" ca="1">_xludf.XLOOKUP(G261,Label!$A$2:$A$309, Label!$C$2:$C$309)</f>
        <v>#NAME?</v>
      </c>
    </row>
    <row r="262" spans="1:10" ht="13">
      <c r="A262" s="4" t="s">
        <v>268</v>
      </c>
      <c r="B262" s="2" t="str">
        <f t="shared" si="3"/>
        <v>OK</v>
      </c>
      <c r="C262" s="5" t="s">
        <v>298</v>
      </c>
      <c r="E262" s="2" t="str">
        <f t="shared" si="4"/>
        <v>OK</v>
      </c>
      <c r="G262" s="5" t="s">
        <v>298</v>
      </c>
      <c r="H262" s="2" t="str">
        <f t="shared" si="5"/>
        <v>OK</v>
      </c>
      <c r="I262" s="2" t="e">
        <f t="array" aca="1" ref="I262" ca="1">_xludf.XLOOKUP(G262,Label!$A$2:$A$309, Label!$B$2:$B$309)</f>
        <v>#NAME?</v>
      </c>
      <c r="J262" s="2" t="e">
        <f t="array" aca="1" ref="J262" ca="1">_xludf.XLOOKUP(G262,Label!$A$2:$A$309, Label!$C$2:$C$309)</f>
        <v>#NAME?</v>
      </c>
    </row>
    <row r="263" spans="1:10" ht="13">
      <c r="A263" s="4" t="s">
        <v>269</v>
      </c>
      <c r="B263" s="2" t="str">
        <f t="shared" si="3"/>
        <v>OK</v>
      </c>
      <c r="C263" s="5" t="s">
        <v>299</v>
      </c>
      <c r="E263" s="2" t="str">
        <f t="shared" si="4"/>
        <v>OK</v>
      </c>
      <c r="G263" s="5" t="s">
        <v>299</v>
      </c>
      <c r="H263" s="2" t="str">
        <f t="shared" si="5"/>
        <v>OK</v>
      </c>
      <c r="I263" s="2" t="e">
        <f t="array" aca="1" ref="I263" ca="1">_xludf.XLOOKUP(G263,Label!$A$2:$A$309, Label!$B$2:$B$309)</f>
        <v>#NAME?</v>
      </c>
      <c r="J263" s="2" t="e">
        <f t="array" aca="1" ref="J263" ca="1">_xludf.XLOOKUP(G263,Label!$A$2:$A$309, Label!$C$2:$C$309)</f>
        <v>#NAME?</v>
      </c>
    </row>
    <row r="264" spans="1:10" ht="13">
      <c r="A264" s="4" t="s">
        <v>270</v>
      </c>
      <c r="B264" s="2" t="str">
        <f t="shared" si="3"/>
        <v>OK</v>
      </c>
      <c r="C264" s="5" t="s">
        <v>300</v>
      </c>
      <c r="E264" s="2" t="str">
        <f t="shared" si="4"/>
        <v>OK</v>
      </c>
      <c r="G264" s="5" t="s">
        <v>300</v>
      </c>
      <c r="H264" s="2" t="str">
        <f t="shared" si="5"/>
        <v>OK</v>
      </c>
      <c r="I264" s="2" t="e">
        <f t="array" aca="1" ref="I264" ca="1">_xludf.XLOOKUP(G264,Label!$A$2:$A$309, Label!$B$2:$B$309)</f>
        <v>#NAME?</v>
      </c>
      <c r="J264" s="2" t="e">
        <f t="array" aca="1" ref="J264" ca="1">_xludf.XLOOKUP(G264,Label!$A$2:$A$309, Label!$C$2:$C$309)</f>
        <v>#NAME?</v>
      </c>
    </row>
    <row r="265" spans="1:10" ht="13">
      <c r="A265" s="4" t="s">
        <v>271</v>
      </c>
      <c r="B265" s="2" t="str">
        <f t="shared" si="3"/>
        <v>OK</v>
      </c>
      <c r="C265" s="5" t="s">
        <v>301</v>
      </c>
      <c r="E265" s="2" t="str">
        <f t="shared" si="4"/>
        <v>OK</v>
      </c>
      <c r="G265" s="5" t="s">
        <v>301</v>
      </c>
      <c r="H265" s="2" t="str">
        <f t="shared" si="5"/>
        <v>OK</v>
      </c>
      <c r="I265" s="2" t="e">
        <f t="array" aca="1" ref="I265" ca="1">_xludf.XLOOKUP(G265,Label!$A$2:$A$309, Label!$B$2:$B$309)</f>
        <v>#NAME?</v>
      </c>
      <c r="J265" s="2" t="e">
        <f t="array" aca="1" ref="J265" ca="1">_xludf.XLOOKUP(G265,Label!$A$2:$A$309, Label!$C$2:$C$309)</f>
        <v>#NAME?</v>
      </c>
    </row>
    <row r="266" spans="1:10" ht="13">
      <c r="A266" s="4" t="s">
        <v>272</v>
      </c>
      <c r="B266" s="2" t="str">
        <f t="shared" si="3"/>
        <v>OK</v>
      </c>
      <c r="C266" s="5" t="s">
        <v>302</v>
      </c>
      <c r="E266" s="2" t="str">
        <f t="shared" si="4"/>
        <v>OK</v>
      </c>
      <c r="G266" s="5" t="s">
        <v>302</v>
      </c>
      <c r="H266" s="2" t="str">
        <f t="shared" si="5"/>
        <v>OK</v>
      </c>
      <c r="I266" s="2" t="e">
        <f t="array" aca="1" ref="I266" ca="1">_xludf.XLOOKUP(G266,Label!$A$2:$A$309, Label!$B$2:$B$309)</f>
        <v>#NAME?</v>
      </c>
      <c r="J266" s="2" t="e">
        <f t="array" aca="1" ref="J266" ca="1">_xludf.XLOOKUP(G266,Label!$A$2:$A$309, Label!$C$2:$C$309)</f>
        <v>#NAME?</v>
      </c>
    </row>
    <row r="267" spans="1:10" ht="13">
      <c r="A267" s="4" t="s">
        <v>273</v>
      </c>
      <c r="B267" s="2" t="str">
        <f t="shared" si="3"/>
        <v>OK</v>
      </c>
      <c r="C267" s="5" t="s">
        <v>303</v>
      </c>
      <c r="E267" s="2" t="str">
        <f t="shared" si="4"/>
        <v>OK</v>
      </c>
      <c r="G267" s="5" t="s">
        <v>303</v>
      </c>
      <c r="H267" s="2" t="str">
        <f t="shared" si="5"/>
        <v>OK</v>
      </c>
      <c r="I267" s="2" t="e">
        <f t="array" aca="1" ref="I267" ca="1">_xludf.XLOOKUP(G267,Label!$A$2:$A$309, Label!$B$2:$B$309)</f>
        <v>#NAME?</v>
      </c>
      <c r="J267" s="2" t="e">
        <f t="array" aca="1" ref="J267" ca="1">_xludf.XLOOKUP(G267,Label!$A$2:$A$309, Label!$C$2:$C$309)</f>
        <v>#NAME?</v>
      </c>
    </row>
    <row r="268" spans="1:10" ht="13">
      <c r="A268" s="4" t="s">
        <v>274</v>
      </c>
      <c r="B268" s="2" t="str">
        <f t="shared" si="3"/>
        <v>OK</v>
      </c>
      <c r="C268" s="5" t="s">
        <v>304</v>
      </c>
      <c r="E268" s="2" t="str">
        <f t="shared" si="4"/>
        <v>OK</v>
      </c>
      <c r="G268" s="5" t="s">
        <v>304</v>
      </c>
      <c r="H268" s="2" t="str">
        <f t="shared" si="5"/>
        <v>OK</v>
      </c>
      <c r="I268" s="2" t="e">
        <f t="array" aca="1" ref="I268" ca="1">_xludf.XLOOKUP(G268,Label!$A$2:$A$309, Label!$B$2:$B$309)</f>
        <v>#NAME?</v>
      </c>
      <c r="J268" s="2" t="e">
        <f t="array" aca="1" ref="J268" ca="1">_xludf.XLOOKUP(G268,Label!$A$2:$A$309, Label!$C$2:$C$309)</f>
        <v>#NAME?</v>
      </c>
    </row>
    <row r="269" spans="1:10" ht="13">
      <c r="A269" s="4" t="s">
        <v>275</v>
      </c>
      <c r="B269" s="2" t="str">
        <f t="shared" si="3"/>
        <v>OK</v>
      </c>
      <c r="C269" s="5" t="s">
        <v>305</v>
      </c>
      <c r="E269" s="2" t="str">
        <f t="shared" si="4"/>
        <v>OK</v>
      </c>
      <c r="G269" s="5" t="s">
        <v>305</v>
      </c>
      <c r="H269" s="2" t="str">
        <f t="shared" si="5"/>
        <v>OK</v>
      </c>
      <c r="I269" s="2" t="e">
        <f t="array" aca="1" ref="I269" ca="1">_xludf.XLOOKUP(G269,Label!$A$2:$A$309, Label!$B$2:$B$309)</f>
        <v>#NAME?</v>
      </c>
      <c r="J269" s="2" t="e">
        <f t="array" aca="1" ref="J269" ca="1">_xludf.XLOOKUP(G269,Label!$A$2:$A$309, Label!$C$2:$C$309)</f>
        <v>#NAME?</v>
      </c>
    </row>
    <row r="270" spans="1:10" ht="13">
      <c r="A270" s="4" t="s">
        <v>276</v>
      </c>
      <c r="B270" s="2" t="str">
        <f t="shared" si="3"/>
        <v>OK</v>
      </c>
      <c r="C270" s="5" t="s">
        <v>306</v>
      </c>
      <c r="E270" s="2" t="str">
        <f t="shared" si="4"/>
        <v>OK</v>
      </c>
      <c r="G270" s="5" t="s">
        <v>306</v>
      </c>
      <c r="H270" s="2" t="str">
        <f t="shared" si="5"/>
        <v>OK</v>
      </c>
      <c r="I270" s="2" t="e">
        <f t="array" aca="1" ref="I270" ca="1">_xludf.XLOOKUP(G270,Label!$A$2:$A$309, Label!$B$2:$B$309)</f>
        <v>#NAME?</v>
      </c>
      <c r="J270" s="2" t="e">
        <f t="array" aca="1" ref="J270" ca="1">_xludf.XLOOKUP(G270,Label!$A$2:$A$309, Label!$C$2:$C$309)</f>
        <v>#NAME?</v>
      </c>
    </row>
    <row r="271" spans="1:10" ht="13">
      <c r="A271" s="4" t="s">
        <v>277</v>
      </c>
      <c r="B271" s="2" t="str">
        <f t="shared" si="3"/>
        <v>OK</v>
      </c>
      <c r="C271" s="5" t="s">
        <v>307</v>
      </c>
      <c r="E271" s="2" t="str">
        <f t="shared" si="4"/>
        <v>OK</v>
      </c>
      <c r="G271" s="5" t="s">
        <v>307</v>
      </c>
      <c r="H271" s="2" t="str">
        <f t="shared" si="5"/>
        <v>OK</v>
      </c>
      <c r="I271" s="2" t="e">
        <f t="array" aca="1" ref="I271" ca="1">_xludf.XLOOKUP(G271,Label!$A$2:$A$309, Label!$B$2:$B$309)</f>
        <v>#NAME?</v>
      </c>
      <c r="J271" s="2" t="e">
        <f t="array" aca="1" ref="J271" ca="1">_xludf.XLOOKUP(G271,Label!$A$2:$A$309, Label!$C$2:$C$309)</f>
        <v>#NAME?</v>
      </c>
    </row>
    <row r="272" spans="1:10" ht="13">
      <c r="A272" s="4" t="s">
        <v>278</v>
      </c>
      <c r="B272" s="2" t="str">
        <f t="shared" si="3"/>
        <v>OK</v>
      </c>
      <c r="C272" s="5" t="s">
        <v>308</v>
      </c>
      <c r="E272" s="2" t="str">
        <f t="shared" si="4"/>
        <v>OK</v>
      </c>
      <c r="G272" s="5" t="s">
        <v>308</v>
      </c>
      <c r="H272" s="2" t="str">
        <f t="shared" si="5"/>
        <v>OK</v>
      </c>
      <c r="I272" s="2" t="e">
        <f t="array" aca="1" ref="I272" ca="1">_xludf.XLOOKUP(G272,Label!$A$2:$A$309, Label!$B$2:$B$309)</f>
        <v>#NAME?</v>
      </c>
      <c r="J272" s="2" t="e">
        <f t="array" aca="1" ref="J272" ca="1">_xludf.XLOOKUP(G272,Label!$A$2:$A$309, Label!$C$2:$C$309)</f>
        <v>#NAME?</v>
      </c>
    </row>
    <row r="273" spans="1:10" ht="13">
      <c r="A273" s="4" t="s">
        <v>279</v>
      </c>
      <c r="B273" s="2" t="str">
        <f t="shared" si="3"/>
        <v>OK</v>
      </c>
      <c r="C273" s="5" t="s">
        <v>309</v>
      </c>
      <c r="E273" s="2" t="str">
        <f t="shared" si="4"/>
        <v>OK</v>
      </c>
      <c r="G273" s="5" t="s">
        <v>309</v>
      </c>
      <c r="H273" s="2" t="str">
        <f t="shared" si="5"/>
        <v>OK</v>
      </c>
      <c r="I273" s="2" t="e">
        <f t="array" aca="1" ref="I273" ca="1">_xludf.XLOOKUP(G273,Label!$A$2:$A$309, Label!$B$2:$B$309)</f>
        <v>#NAME?</v>
      </c>
      <c r="J273" s="2" t="e">
        <f t="array" aca="1" ref="J273" ca="1">_xludf.XLOOKUP(G273,Label!$A$2:$A$309, Label!$C$2:$C$309)</f>
        <v>#NAME?</v>
      </c>
    </row>
    <row r="274" spans="1:10" ht="13">
      <c r="A274" s="4" t="s">
        <v>280</v>
      </c>
      <c r="B274" s="2" t="str">
        <f t="shared" si="3"/>
        <v>OK</v>
      </c>
      <c r="C274" s="5" t="s">
        <v>310</v>
      </c>
      <c r="E274" s="2" t="str">
        <f t="shared" si="4"/>
        <v>OK</v>
      </c>
      <c r="G274" s="5" t="s">
        <v>310</v>
      </c>
      <c r="H274" s="2" t="str">
        <f t="shared" si="5"/>
        <v>OK</v>
      </c>
      <c r="I274" s="2" t="e">
        <f t="array" aca="1" ref="I274" ca="1">_xludf.XLOOKUP(G274,Label!$A$2:$A$309, Label!$B$2:$B$309)</f>
        <v>#NAME?</v>
      </c>
      <c r="J274" s="2" t="e">
        <f t="array" aca="1" ref="J274" ca="1">_xludf.XLOOKUP(G274,Label!$A$2:$A$309, Label!$C$2:$C$309)</f>
        <v>#NAME?</v>
      </c>
    </row>
    <row r="275" spans="1:10" ht="13">
      <c r="A275" s="4" t="s">
        <v>281</v>
      </c>
      <c r="B275" s="2" t="str">
        <f t="shared" si="3"/>
        <v>OK</v>
      </c>
      <c r="C275" s="5" t="s">
        <v>311</v>
      </c>
      <c r="E275" s="2" t="str">
        <f t="shared" si="4"/>
        <v>OK</v>
      </c>
      <c r="G275" s="5" t="s">
        <v>311</v>
      </c>
      <c r="H275" s="2" t="str">
        <f t="shared" si="5"/>
        <v>OK</v>
      </c>
      <c r="I275" s="2" t="e">
        <f t="array" aca="1" ref="I275" ca="1">_xludf.XLOOKUP(G275,Label!$A$2:$A$309, Label!$B$2:$B$309)</f>
        <v>#NAME?</v>
      </c>
      <c r="J275" s="2" t="e">
        <f t="array" aca="1" ref="J275" ca="1">_xludf.XLOOKUP(G275,Label!$A$2:$A$309, Label!$C$2:$C$309)</f>
        <v>#NAME?</v>
      </c>
    </row>
    <row r="276" spans="1:10" ht="13">
      <c r="A276" s="4" t="s">
        <v>282</v>
      </c>
      <c r="B276" s="2" t="str">
        <f t="shared" si="3"/>
        <v>OK</v>
      </c>
      <c r="C276" s="5" t="s">
        <v>312</v>
      </c>
      <c r="E276" s="2" t="str">
        <f t="shared" si="4"/>
        <v>OK</v>
      </c>
      <c r="G276" s="5" t="s">
        <v>312</v>
      </c>
      <c r="H276" s="2" t="str">
        <f t="shared" si="5"/>
        <v>OK</v>
      </c>
      <c r="I276" s="2" t="e">
        <f t="array" aca="1" ref="I276" ca="1">_xludf.XLOOKUP(G276,Label!$A$2:$A$309, Label!$B$2:$B$309)</f>
        <v>#NAME?</v>
      </c>
      <c r="J276" s="2" t="e">
        <f t="array" aca="1" ref="J276" ca="1">_xludf.XLOOKUP(G276,Label!$A$2:$A$309, Label!$C$2:$C$309)</f>
        <v>#NAME?</v>
      </c>
    </row>
    <row r="277" spans="1:10" ht="13">
      <c r="A277" s="4" t="s">
        <v>283</v>
      </c>
      <c r="B277" s="2" t="str">
        <f t="shared" si="3"/>
        <v>OK</v>
      </c>
      <c r="C277" s="5" t="s">
        <v>313</v>
      </c>
      <c r="E277" s="2" t="str">
        <f t="shared" si="4"/>
        <v>OK</v>
      </c>
      <c r="G277" s="5" t="s">
        <v>313</v>
      </c>
      <c r="H277" s="2" t="str">
        <f t="shared" si="5"/>
        <v>OK</v>
      </c>
      <c r="I277" s="2" t="e">
        <f t="array" aca="1" ref="I277" ca="1">_xludf.XLOOKUP(G277,Label!$A$2:$A$309, Label!$B$2:$B$309)</f>
        <v>#NAME?</v>
      </c>
      <c r="J277" s="2" t="e">
        <f t="array" aca="1" ref="J277" ca="1">_xludf.XLOOKUP(G277,Label!$A$2:$A$309, Label!$C$2:$C$309)</f>
        <v>#NAME?</v>
      </c>
    </row>
    <row r="278" spans="1:10" ht="13">
      <c r="A278" s="4" t="s">
        <v>284</v>
      </c>
      <c r="B278" s="2" t="str">
        <f t="shared" si="3"/>
        <v>OK</v>
      </c>
      <c r="C278" s="5" t="s">
        <v>314</v>
      </c>
      <c r="E278" s="2" t="str">
        <f t="shared" si="4"/>
        <v>OK</v>
      </c>
      <c r="G278" s="5" t="s">
        <v>314</v>
      </c>
      <c r="H278" s="2" t="str">
        <f t="shared" si="5"/>
        <v>OK</v>
      </c>
      <c r="I278" s="2" t="e">
        <f t="array" aca="1" ref="I278" ca="1">_xludf.XLOOKUP(G278,Label!$A$2:$A$309, Label!$B$2:$B$309)</f>
        <v>#NAME?</v>
      </c>
      <c r="J278" s="2" t="e">
        <f t="array" aca="1" ref="J278" ca="1">_xludf.XLOOKUP(G278,Label!$A$2:$A$309, Label!$C$2:$C$309)</f>
        <v>#NAME?</v>
      </c>
    </row>
    <row r="279" spans="1:10" ht="13">
      <c r="A279" s="4" t="s">
        <v>285</v>
      </c>
      <c r="B279" s="2" t="str">
        <f t="shared" si="3"/>
        <v>OK</v>
      </c>
      <c r="C279" s="5" t="s">
        <v>315</v>
      </c>
      <c r="E279" s="2" t="str">
        <f t="shared" si="4"/>
        <v>OK</v>
      </c>
      <c r="G279" s="5" t="s">
        <v>315</v>
      </c>
      <c r="H279" s="2" t="str">
        <f t="shared" si="5"/>
        <v>OK</v>
      </c>
      <c r="I279" s="2" t="e">
        <f t="array" aca="1" ref="I279" ca="1">_xludf.XLOOKUP(G279,Label!$A$2:$A$309, Label!$B$2:$B$309)</f>
        <v>#NAME?</v>
      </c>
      <c r="J279" s="2" t="e">
        <f t="array" aca="1" ref="J279" ca="1">_xludf.XLOOKUP(G279,Label!$A$2:$A$309, Label!$C$2:$C$309)</f>
        <v>#NAME?</v>
      </c>
    </row>
    <row r="280" spans="1:10" ht="13">
      <c r="A280" s="4" t="s">
        <v>286</v>
      </c>
      <c r="B280" s="2" t="str">
        <f t="shared" si="3"/>
        <v>OK</v>
      </c>
      <c r="C280" s="5" t="s">
        <v>316</v>
      </c>
      <c r="E280" s="2" t="str">
        <f t="shared" si="4"/>
        <v>duplicate</v>
      </c>
      <c r="G280" s="5" t="s">
        <v>316</v>
      </c>
      <c r="H280" s="2" t="str">
        <f t="shared" si="5"/>
        <v>duplicate</v>
      </c>
      <c r="I280" s="2" t="e">
        <f t="array" aca="1" ref="I280" ca="1">_xludf.XLOOKUP(G280,Label!$A$2:$A$309, Label!$B$2:$B$309)</f>
        <v>#NAME?</v>
      </c>
      <c r="J280" s="2" t="e">
        <f t="array" aca="1" ref="J280" ca="1">_xludf.XLOOKUP(G280,Label!$A$2:$A$309, Label!$C$2:$C$309)</f>
        <v>#NAME?</v>
      </c>
    </row>
    <row r="281" spans="1:10" ht="13">
      <c r="A281" s="4" t="s">
        <v>287</v>
      </c>
      <c r="B281" s="2" t="str">
        <f t="shared" si="3"/>
        <v>OK</v>
      </c>
      <c r="C281" s="5" t="s">
        <v>317</v>
      </c>
      <c r="E281" s="2" t="str">
        <f t="shared" si="4"/>
        <v>OK</v>
      </c>
      <c r="G281" s="5" t="s">
        <v>317</v>
      </c>
      <c r="H281" s="2" t="str">
        <f t="shared" si="5"/>
        <v>OK</v>
      </c>
      <c r="I281" s="2" t="e">
        <f t="array" aca="1" ref="I281" ca="1">_xludf.XLOOKUP(G281,Label!$A$2:$A$309, Label!$B$2:$B$309)</f>
        <v>#NAME?</v>
      </c>
      <c r="J281" s="2" t="e">
        <f t="array" aca="1" ref="J281" ca="1">_xludf.XLOOKUP(G281,Label!$A$2:$A$309, Label!$C$2:$C$309)</f>
        <v>#NAME?</v>
      </c>
    </row>
    <row r="282" spans="1:10" ht="13">
      <c r="A282" s="4" t="s">
        <v>288</v>
      </c>
      <c r="B282" s="2" t="str">
        <f t="shared" si="3"/>
        <v>OK</v>
      </c>
      <c r="C282" s="5" t="s">
        <v>318</v>
      </c>
      <c r="E282" s="2" t="str">
        <f t="shared" si="4"/>
        <v>OK</v>
      </c>
      <c r="G282" s="5" t="s">
        <v>318</v>
      </c>
      <c r="H282" s="2" t="str">
        <f t="shared" si="5"/>
        <v>OK</v>
      </c>
      <c r="I282" s="2" t="e">
        <f t="array" aca="1" ref="I282" ca="1">_xludf.XLOOKUP(G282,Label!$A$2:$A$309, Label!$B$2:$B$309)</f>
        <v>#NAME?</v>
      </c>
      <c r="J282" s="2" t="e">
        <f t="array" aca="1" ref="J282" ca="1">_xludf.XLOOKUP(G282,Label!$A$2:$A$309, Label!$C$2:$C$309)</f>
        <v>#NAME?</v>
      </c>
    </row>
    <row r="283" spans="1:10" ht="13">
      <c r="A283" s="4" t="s">
        <v>289</v>
      </c>
      <c r="B283" s="2" t="str">
        <f t="shared" si="3"/>
        <v>OK</v>
      </c>
      <c r="C283" s="5" t="s">
        <v>319</v>
      </c>
      <c r="E283" s="2" t="str">
        <f t="shared" si="4"/>
        <v>OK</v>
      </c>
      <c r="G283" s="5" t="s">
        <v>319</v>
      </c>
      <c r="H283" s="2" t="str">
        <f t="shared" si="5"/>
        <v>OK</v>
      </c>
      <c r="I283" s="2" t="e">
        <f t="array" aca="1" ref="I283" ca="1">_xludf.XLOOKUP(G283,Label!$A$2:$A$309, Label!$B$2:$B$309)</f>
        <v>#NAME?</v>
      </c>
      <c r="J283" s="2" t="e">
        <f t="array" aca="1" ref="J283" ca="1">_xludf.XLOOKUP(G283,Label!$A$2:$A$309, Label!$C$2:$C$309)</f>
        <v>#NAME?</v>
      </c>
    </row>
    <row r="284" spans="1:10" ht="13">
      <c r="A284" s="4" t="s">
        <v>290</v>
      </c>
      <c r="B284" s="2" t="str">
        <f t="shared" si="3"/>
        <v>OK</v>
      </c>
      <c r="C284" s="5" t="s">
        <v>320</v>
      </c>
      <c r="E284" s="2" t="str">
        <f t="shared" si="4"/>
        <v>OK</v>
      </c>
      <c r="G284" s="5" t="s">
        <v>320</v>
      </c>
      <c r="H284" s="2" t="str">
        <f t="shared" si="5"/>
        <v>OK</v>
      </c>
      <c r="I284" s="2" t="e">
        <f t="array" aca="1" ref="I284" ca="1">_xludf.XLOOKUP(G284,Label!$A$2:$A$309, Label!$B$2:$B$309)</f>
        <v>#NAME?</v>
      </c>
      <c r="J284" s="2" t="e">
        <f t="array" aca="1" ref="J284" ca="1">_xludf.XLOOKUP(G284,Label!$A$2:$A$309, Label!$C$2:$C$309)</f>
        <v>#NAME?</v>
      </c>
    </row>
    <row r="285" spans="1:10" ht="13">
      <c r="A285" s="4" t="s">
        <v>291</v>
      </c>
      <c r="B285" s="2" t="str">
        <f t="shared" si="3"/>
        <v>OK</v>
      </c>
      <c r="C285" s="5" t="s">
        <v>321</v>
      </c>
      <c r="E285" s="2" t="str">
        <f t="shared" si="4"/>
        <v>OK</v>
      </c>
      <c r="G285" s="5" t="s">
        <v>321</v>
      </c>
      <c r="H285" s="2" t="str">
        <f t="shared" si="5"/>
        <v>OK</v>
      </c>
      <c r="I285" s="2" t="e">
        <f t="array" aca="1" ref="I285" ca="1">_xludf.XLOOKUP(G285,Label!$A$2:$A$309, Label!$B$2:$B$309)</f>
        <v>#NAME?</v>
      </c>
      <c r="J285" s="2" t="e">
        <f t="array" aca="1" ref="J285" ca="1">_xludf.XLOOKUP(G285,Label!$A$2:$A$309, Label!$C$2:$C$309)</f>
        <v>#NAME?</v>
      </c>
    </row>
    <row r="286" spans="1:10" ht="13">
      <c r="A286" s="4" t="s">
        <v>292</v>
      </c>
      <c r="B286" s="2" t="str">
        <f t="shared" si="3"/>
        <v>OK</v>
      </c>
      <c r="C286" s="5" t="s">
        <v>322</v>
      </c>
      <c r="E286" s="2" t="str">
        <f t="shared" si="4"/>
        <v>OK</v>
      </c>
      <c r="G286" s="5" t="s">
        <v>322</v>
      </c>
      <c r="H286" s="2" t="str">
        <f t="shared" si="5"/>
        <v>OK</v>
      </c>
      <c r="I286" s="2" t="e">
        <f t="array" aca="1" ref="I286" ca="1">_xludf.XLOOKUP(G286,Label!$A$2:$A$309, Label!$B$2:$B$309)</f>
        <v>#NAME?</v>
      </c>
      <c r="J286" s="2" t="e">
        <f t="array" aca="1" ref="J286" ca="1">_xludf.XLOOKUP(G286,Label!$A$2:$A$309, Label!$C$2:$C$309)</f>
        <v>#NAME?</v>
      </c>
    </row>
    <row r="287" spans="1:10" ht="13">
      <c r="A287" s="4" t="s">
        <v>293</v>
      </c>
      <c r="B287" s="2" t="str">
        <f t="shared" si="3"/>
        <v>OK</v>
      </c>
      <c r="C287" s="5" t="s">
        <v>323</v>
      </c>
      <c r="E287" s="2" t="str">
        <f t="shared" si="4"/>
        <v>OK</v>
      </c>
      <c r="G287" s="5" t="s">
        <v>323</v>
      </c>
      <c r="H287" s="2" t="str">
        <f t="shared" si="5"/>
        <v>OK</v>
      </c>
      <c r="I287" s="2" t="e">
        <f t="array" aca="1" ref="I287" ca="1">_xludf.XLOOKUP(G287,Label!$A$2:$A$309, Label!$B$2:$B$309)</f>
        <v>#NAME?</v>
      </c>
      <c r="J287" s="2" t="e">
        <f t="array" aca="1" ref="J287" ca="1">_xludf.XLOOKUP(G287,Label!$A$2:$A$309, Label!$C$2:$C$309)</f>
        <v>#NAME?</v>
      </c>
    </row>
    <row r="288" spans="1:10" ht="13">
      <c r="A288" s="4" t="s">
        <v>294</v>
      </c>
      <c r="B288" s="2" t="str">
        <f t="shared" si="3"/>
        <v>OK</v>
      </c>
      <c r="C288" s="5" t="s">
        <v>324</v>
      </c>
      <c r="E288" s="2" t="str">
        <f t="shared" si="4"/>
        <v>OK</v>
      </c>
      <c r="G288" s="5" t="s">
        <v>324</v>
      </c>
      <c r="H288" s="2" t="str">
        <f t="shared" si="5"/>
        <v>OK</v>
      </c>
      <c r="I288" s="2" t="e">
        <f t="array" aca="1" ref="I288" ca="1">_xludf.XLOOKUP(G288,Label!$A$2:$A$309, Label!$B$2:$B$309)</f>
        <v>#NAME?</v>
      </c>
      <c r="J288" s="2" t="e">
        <f t="array" aca="1" ref="J288" ca="1">_xludf.XLOOKUP(G288,Label!$A$2:$A$309, Label!$C$2:$C$309)</f>
        <v>#NAME?</v>
      </c>
    </row>
    <row r="289" spans="1:10" ht="13">
      <c r="A289" s="4" t="s">
        <v>295</v>
      </c>
      <c r="B289" s="2" t="str">
        <f t="shared" si="3"/>
        <v>OK</v>
      </c>
      <c r="C289" s="5" t="s">
        <v>325</v>
      </c>
      <c r="E289" s="2" t="str">
        <f t="shared" si="4"/>
        <v>OK</v>
      </c>
      <c r="G289" s="5" t="s">
        <v>325</v>
      </c>
      <c r="H289" s="2" t="str">
        <f t="shared" si="5"/>
        <v>OK</v>
      </c>
      <c r="I289" s="2" t="e">
        <f t="array" aca="1" ref="I289" ca="1">_xludf.XLOOKUP(G289,Label!$A$2:$A$309, Label!$B$2:$B$309)</f>
        <v>#NAME?</v>
      </c>
      <c r="J289" s="2" t="e">
        <f t="array" aca="1" ref="J289" ca="1">_xludf.XLOOKUP(G289,Label!$A$2:$A$309, Label!$C$2:$C$309)</f>
        <v>#NAME?</v>
      </c>
    </row>
    <row r="290" spans="1:10" ht="13">
      <c r="A290" s="4" t="s">
        <v>296</v>
      </c>
      <c r="B290" s="2" t="str">
        <f t="shared" si="3"/>
        <v>OK</v>
      </c>
      <c r="C290" s="5" t="s">
        <v>326</v>
      </c>
      <c r="E290" s="2" t="str">
        <f t="shared" si="4"/>
        <v>OK</v>
      </c>
      <c r="G290" s="5" t="s">
        <v>326</v>
      </c>
      <c r="H290" s="2" t="str">
        <f t="shared" si="5"/>
        <v>OK</v>
      </c>
      <c r="I290" s="2" t="e">
        <f t="array" aca="1" ref="I290" ca="1">_xludf.XLOOKUP(G290,Label!$A$2:$A$309, Label!$B$2:$B$309)</f>
        <v>#NAME?</v>
      </c>
      <c r="J290" s="2" t="e">
        <f t="array" aca="1" ref="J290" ca="1">_xludf.XLOOKUP(G290,Label!$A$2:$A$309, Label!$C$2:$C$309)</f>
        <v>#NAME?</v>
      </c>
    </row>
    <row r="291" spans="1:10" ht="13">
      <c r="A291" s="4" t="s">
        <v>297</v>
      </c>
      <c r="B291" s="2" t="str">
        <f t="shared" si="3"/>
        <v>OK</v>
      </c>
      <c r="C291" s="5" t="s">
        <v>327</v>
      </c>
      <c r="E291" s="2" t="str">
        <f t="shared" si="4"/>
        <v>OK</v>
      </c>
      <c r="G291" s="5" t="s">
        <v>327</v>
      </c>
      <c r="H291" s="2" t="str">
        <f t="shared" si="5"/>
        <v>OK</v>
      </c>
      <c r="I291" s="2" t="e">
        <f t="array" aca="1" ref="I291" ca="1">_xludf.XLOOKUP(G291,Label!$A$2:$A$309, Label!$B$2:$B$309)</f>
        <v>#NAME?</v>
      </c>
      <c r="J291" s="2" t="e">
        <f t="array" aca="1" ref="J291" ca="1">_xludf.XLOOKUP(G291,Label!$A$2:$A$309, Label!$C$2:$C$309)</f>
        <v>#NAME?</v>
      </c>
    </row>
    <row r="292" spans="1:10" ht="13">
      <c r="A292" s="4" t="s">
        <v>298</v>
      </c>
      <c r="B292" s="2" t="str">
        <f t="shared" si="3"/>
        <v>OK</v>
      </c>
      <c r="C292" s="5" t="s">
        <v>328</v>
      </c>
      <c r="E292" s="2" t="str">
        <f t="shared" si="4"/>
        <v>OK</v>
      </c>
      <c r="G292" s="5" t="s">
        <v>328</v>
      </c>
      <c r="H292" s="2" t="str">
        <f t="shared" si="5"/>
        <v>OK</v>
      </c>
      <c r="I292" s="2" t="e">
        <f t="array" aca="1" ref="I292" ca="1">_xludf.XLOOKUP(G292,Label!$A$2:$A$309, Label!$B$2:$B$309)</f>
        <v>#NAME?</v>
      </c>
      <c r="J292" s="2" t="e">
        <f t="array" aca="1" ref="J292" ca="1">_xludf.XLOOKUP(G292,Label!$A$2:$A$309, Label!$C$2:$C$309)</f>
        <v>#NAME?</v>
      </c>
    </row>
    <row r="293" spans="1:10" ht="13">
      <c r="A293" s="4" t="s">
        <v>299</v>
      </c>
      <c r="B293" s="2" t="str">
        <f t="shared" si="3"/>
        <v>OK</v>
      </c>
      <c r="C293" s="5" t="s">
        <v>329</v>
      </c>
      <c r="E293" s="2" t="str">
        <f t="shared" si="4"/>
        <v>OK</v>
      </c>
      <c r="G293" s="5" t="s">
        <v>329</v>
      </c>
      <c r="H293" s="2" t="str">
        <f t="shared" si="5"/>
        <v>OK</v>
      </c>
      <c r="I293" s="2" t="e">
        <f t="array" aca="1" ref="I293" ca="1">_xludf.XLOOKUP(G293,Label!$A$2:$A$309, Label!$B$2:$B$309)</f>
        <v>#NAME?</v>
      </c>
      <c r="J293" s="2" t="e">
        <f t="array" aca="1" ref="J293" ca="1">_xludf.XLOOKUP(G293,Label!$A$2:$A$309, Label!$C$2:$C$309)</f>
        <v>#NAME?</v>
      </c>
    </row>
    <row r="294" spans="1:10" ht="13">
      <c r="A294" s="4" t="s">
        <v>300</v>
      </c>
      <c r="B294" s="2" t="str">
        <f t="shared" si="3"/>
        <v>OK</v>
      </c>
      <c r="C294" s="5" t="s">
        <v>330</v>
      </c>
      <c r="E294" s="2" t="str">
        <f t="shared" si="4"/>
        <v>OK</v>
      </c>
      <c r="G294" s="5" t="s">
        <v>330</v>
      </c>
      <c r="H294" s="2" t="str">
        <f t="shared" si="5"/>
        <v>OK</v>
      </c>
      <c r="I294" s="2" t="e">
        <f t="array" aca="1" ref="I294" ca="1">_xludf.XLOOKUP(G294,Label!$A$2:$A$309, Label!$B$2:$B$309)</f>
        <v>#NAME?</v>
      </c>
      <c r="J294" s="2" t="e">
        <f t="array" aca="1" ref="J294" ca="1">_xludf.XLOOKUP(G294,Label!$A$2:$A$309, Label!$C$2:$C$309)</f>
        <v>#NAME?</v>
      </c>
    </row>
    <row r="295" spans="1:10" ht="13">
      <c r="A295" s="4" t="s">
        <v>301</v>
      </c>
      <c r="B295" s="2" t="str">
        <f t="shared" si="3"/>
        <v>OK</v>
      </c>
      <c r="C295" s="5" t="s">
        <v>331</v>
      </c>
      <c r="E295" s="2" t="str">
        <f t="shared" si="4"/>
        <v>OK</v>
      </c>
      <c r="G295" s="5" t="s">
        <v>331</v>
      </c>
      <c r="H295" s="2" t="str">
        <f t="shared" si="5"/>
        <v>OK</v>
      </c>
      <c r="I295" s="2" t="e">
        <f t="array" aca="1" ref="I295" ca="1">_xludf.XLOOKUP(G295,Label!$A$2:$A$309, Label!$B$2:$B$309)</f>
        <v>#NAME?</v>
      </c>
      <c r="J295" s="2" t="e">
        <f t="array" aca="1" ref="J295" ca="1">_xludf.XLOOKUP(G295,Label!$A$2:$A$309, Label!$C$2:$C$309)</f>
        <v>#NAME?</v>
      </c>
    </row>
    <row r="296" spans="1:10" ht="13">
      <c r="A296" s="4" t="s">
        <v>302</v>
      </c>
      <c r="B296" s="2" t="str">
        <f t="shared" si="3"/>
        <v>OK</v>
      </c>
      <c r="C296" s="5" t="s">
        <v>332</v>
      </c>
      <c r="E296" s="2" t="str">
        <f t="shared" si="4"/>
        <v>OK</v>
      </c>
      <c r="G296" s="5" t="s">
        <v>332</v>
      </c>
      <c r="H296" s="2" t="str">
        <f t="shared" si="5"/>
        <v>OK</v>
      </c>
      <c r="I296" s="2" t="e">
        <f t="array" aca="1" ref="I296" ca="1">_xludf.XLOOKUP(G296,Label!$A$2:$A$309, Label!$B$2:$B$309)</f>
        <v>#NAME?</v>
      </c>
      <c r="J296" s="2" t="e">
        <f t="array" aca="1" ref="J296" ca="1">_xludf.XLOOKUP(G296,Label!$A$2:$A$309, Label!$C$2:$C$309)</f>
        <v>#NAME?</v>
      </c>
    </row>
    <row r="297" spans="1:10" ht="13">
      <c r="A297" s="4" t="s">
        <v>303</v>
      </c>
      <c r="B297" s="2" t="str">
        <f t="shared" si="3"/>
        <v>OK</v>
      </c>
      <c r="C297" s="5" t="s">
        <v>333</v>
      </c>
      <c r="E297" s="2" t="str">
        <f t="shared" si="4"/>
        <v>OK</v>
      </c>
      <c r="G297" s="5" t="s">
        <v>333</v>
      </c>
      <c r="H297" s="2" t="str">
        <f t="shared" si="5"/>
        <v>OK</v>
      </c>
      <c r="I297" s="2" t="e">
        <f t="array" aca="1" ref="I297" ca="1">_xludf.XLOOKUP(G297,Label!$A$2:$A$309, Label!$B$2:$B$309)</f>
        <v>#NAME?</v>
      </c>
      <c r="J297" s="2" t="e">
        <f t="array" aca="1" ref="J297" ca="1">_xludf.XLOOKUP(G297,Label!$A$2:$A$309, Label!$C$2:$C$309)</f>
        <v>#NAME?</v>
      </c>
    </row>
    <row r="298" spans="1:10" ht="13">
      <c r="A298" s="4" t="s">
        <v>304</v>
      </c>
      <c r="B298" s="2" t="str">
        <f t="shared" si="3"/>
        <v>OK</v>
      </c>
      <c r="C298" s="5" t="s">
        <v>334</v>
      </c>
      <c r="E298" s="2" t="str">
        <f t="shared" si="4"/>
        <v>OK</v>
      </c>
      <c r="G298" s="5" t="s">
        <v>334</v>
      </c>
      <c r="H298" s="2" t="str">
        <f t="shared" si="5"/>
        <v>OK</v>
      </c>
      <c r="I298" s="2" t="e">
        <f t="array" aca="1" ref="I298" ca="1">_xludf.XLOOKUP(G298,Label!$A$2:$A$309, Label!$B$2:$B$309)</f>
        <v>#NAME?</v>
      </c>
      <c r="J298" s="2" t="e">
        <f t="array" aca="1" ref="J298" ca="1">_xludf.XLOOKUP(G298,Label!$A$2:$A$309, Label!$C$2:$C$309)</f>
        <v>#NAME?</v>
      </c>
    </row>
    <row r="299" spans="1:10" ht="13">
      <c r="A299" s="4" t="s">
        <v>305</v>
      </c>
      <c r="B299" s="2" t="str">
        <f t="shared" si="3"/>
        <v>OK</v>
      </c>
      <c r="C299" s="5" t="s">
        <v>335</v>
      </c>
      <c r="E299" s="2" t="str">
        <f t="shared" si="4"/>
        <v>OK</v>
      </c>
      <c r="G299" s="5" t="s">
        <v>335</v>
      </c>
      <c r="H299" s="2" t="str">
        <f t="shared" si="5"/>
        <v>OK</v>
      </c>
      <c r="I299" s="2" t="e">
        <f t="array" aca="1" ref="I299" ca="1">_xludf.XLOOKUP(G299,Label!$A$2:$A$309, Label!$B$2:$B$309)</f>
        <v>#NAME?</v>
      </c>
      <c r="J299" s="2" t="e">
        <f t="array" aca="1" ref="J299" ca="1">_xludf.XLOOKUP(G299,Label!$A$2:$A$309, Label!$C$2:$C$309)</f>
        <v>#NAME?</v>
      </c>
    </row>
    <row r="300" spans="1:10" ht="13">
      <c r="A300" s="4" t="s">
        <v>306</v>
      </c>
      <c r="B300" s="2" t="str">
        <f t="shared" si="3"/>
        <v>OK</v>
      </c>
      <c r="C300" s="5" t="s">
        <v>336</v>
      </c>
      <c r="E300" s="2" t="str">
        <f t="shared" si="4"/>
        <v>OK</v>
      </c>
      <c r="G300" s="5" t="s">
        <v>336</v>
      </c>
      <c r="H300" s="2" t="str">
        <f t="shared" si="5"/>
        <v>OK</v>
      </c>
      <c r="I300" s="2" t="e">
        <f t="array" aca="1" ref="I300" ca="1">_xludf.XLOOKUP(G300,Label!$A$2:$A$309, Label!$B$2:$B$309)</f>
        <v>#NAME?</v>
      </c>
      <c r="J300" s="2" t="e">
        <f t="array" aca="1" ref="J300" ca="1">_xludf.XLOOKUP(G300,Label!$A$2:$A$309, Label!$C$2:$C$309)</f>
        <v>#NAME?</v>
      </c>
    </row>
    <row r="301" spans="1:10" ht="13">
      <c r="A301" s="4" t="s">
        <v>307</v>
      </c>
      <c r="B301" s="2" t="str">
        <f t="shared" si="3"/>
        <v>OK</v>
      </c>
      <c r="C301" s="5" t="s">
        <v>337</v>
      </c>
      <c r="E301" s="2" t="str">
        <f t="shared" si="4"/>
        <v>OK</v>
      </c>
      <c r="G301" s="5" t="s">
        <v>337</v>
      </c>
      <c r="H301" s="2" t="str">
        <f t="shared" si="5"/>
        <v>OK</v>
      </c>
      <c r="I301" s="2" t="e">
        <f t="array" aca="1" ref="I301" ca="1">_xludf.XLOOKUP(G301,Label!$A$2:$A$309, Label!$B$2:$B$309)</f>
        <v>#NAME?</v>
      </c>
      <c r="J301" s="2" t="e">
        <f t="array" aca="1" ref="J301" ca="1">_xludf.XLOOKUP(G301,Label!$A$2:$A$309, Label!$C$2:$C$309)</f>
        <v>#NAME?</v>
      </c>
    </row>
    <row r="302" spans="1:10" ht="13">
      <c r="A302" s="4" t="s">
        <v>308</v>
      </c>
      <c r="B302" s="2" t="str">
        <f t="shared" si="3"/>
        <v>OK</v>
      </c>
      <c r="C302" s="5" t="s">
        <v>338</v>
      </c>
      <c r="E302" s="2" t="str">
        <f t="shared" si="4"/>
        <v>OK</v>
      </c>
      <c r="G302" s="5" t="s">
        <v>338</v>
      </c>
      <c r="H302" s="2" t="str">
        <f t="shared" si="5"/>
        <v>OK</v>
      </c>
      <c r="I302" s="2" t="e">
        <f t="array" aca="1" ref="I302" ca="1">_xludf.XLOOKUP(G302,Label!$A$2:$A$309, Label!$B$2:$B$309)</f>
        <v>#NAME?</v>
      </c>
      <c r="J302" s="2" t="e">
        <f t="array" aca="1" ref="J302" ca="1">_xludf.XLOOKUP(G302,Label!$A$2:$A$309, Label!$C$2:$C$309)</f>
        <v>#NAME?</v>
      </c>
    </row>
    <row r="303" spans="1:10" ht="13">
      <c r="A303" s="4" t="s">
        <v>309</v>
      </c>
      <c r="B303" s="2" t="str">
        <f t="shared" si="3"/>
        <v>OK</v>
      </c>
      <c r="C303" s="5" t="s">
        <v>339</v>
      </c>
      <c r="E303" s="2" t="str">
        <f t="shared" si="4"/>
        <v>OK</v>
      </c>
      <c r="G303" s="5" t="s">
        <v>339</v>
      </c>
      <c r="H303" s="2" t="str">
        <f t="shared" si="5"/>
        <v>OK</v>
      </c>
      <c r="I303" s="2" t="e">
        <f t="array" aca="1" ref="I303" ca="1">_xludf.XLOOKUP(G303,Label!$A$2:$A$309, Label!$B$2:$B$309)</f>
        <v>#NAME?</v>
      </c>
      <c r="J303" s="2" t="e">
        <f t="array" aca="1" ref="J303" ca="1">_xludf.XLOOKUP(G303,Label!$A$2:$A$309, Label!$C$2:$C$309)</f>
        <v>#NAME?</v>
      </c>
    </row>
    <row r="304" spans="1:10" ht="13">
      <c r="A304" s="4" t="s">
        <v>310</v>
      </c>
      <c r="B304" s="2" t="str">
        <f t="shared" si="3"/>
        <v>OK</v>
      </c>
      <c r="C304" s="5" t="s">
        <v>340</v>
      </c>
      <c r="E304" s="2" t="str">
        <f t="shared" si="4"/>
        <v>OK</v>
      </c>
      <c r="G304" s="5" t="s">
        <v>340</v>
      </c>
      <c r="H304" s="2" t="str">
        <f t="shared" si="5"/>
        <v>OK</v>
      </c>
      <c r="I304" s="2" t="e">
        <f t="array" aca="1" ref="I304" ca="1">_xludf.XLOOKUP(G304,Label!$A$2:$A$309, Label!$B$2:$B$309)</f>
        <v>#NAME?</v>
      </c>
      <c r="J304" s="2" t="e">
        <f t="array" aca="1" ref="J304" ca="1">_xludf.XLOOKUP(G304,Label!$A$2:$A$309, Label!$C$2:$C$309)</f>
        <v>#NAME?</v>
      </c>
    </row>
    <row r="305" spans="1:10" ht="13">
      <c r="A305" s="4" t="s">
        <v>311</v>
      </c>
      <c r="B305" s="2" t="str">
        <f t="shared" si="3"/>
        <v>OK</v>
      </c>
      <c r="C305" s="5" t="s">
        <v>341</v>
      </c>
      <c r="E305" s="2" t="str">
        <f t="shared" si="4"/>
        <v>OK</v>
      </c>
      <c r="G305" s="5" t="s">
        <v>341</v>
      </c>
      <c r="H305" s="2" t="str">
        <f t="shared" si="5"/>
        <v>OK</v>
      </c>
      <c r="I305" s="2" t="e">
        <f t="array" aca="1" ref="I305" ca="1">_xludf.XLOOKUP(G305,Label!$A$2:$A$309, Label!$B$2:$B$309)</f>
        <v>#NAME?</v>
      </c>
      <c r="J305" s="2" t="e">
        <f t="array" aca="1" ref="J305" ca="1">_xludf.XLOOKUP(G305,Label!$A$2:$A$309, Label!$C$2:$C$309)</f>
        <v>#NAME?</v>
      </c>
    </row>
    <row r="306" spans="1:10" ht="13">
      <c r="A306" s="4" t="s">
        <v>312</v>
      </c>
      <c r="B306" s="2" t="str">
        <f t="shared" si="3"/>
        <v>OK</v>
      </c>
      <c r="C306" s="5" t="s">
        <v>342</v>
      </c>
      <c r="E306" s="2" t="str">
        <f t="shared" si="4"/>
        <v>OK</v>
      </c>
      <c r="G306" s="5" t="s">
        <v>342</v>
      </c>
      <c r="H306" s="2" t="str">
        <f t="shared" si="5"/>
        <v>OK</v>
      </c>
      <c r="I306" s="2" t="e">
        <f t="array" aca="1" ref="I306" ca="1">_xludf.XLOOKUP(G306,Label!$A$2:$A$309, Label!$B$2:$B$309)</f>
        <v>#NAME?</v>
      </c>
      <c r="J306" s="2" t="e">
        <f t="array" aca="1" ref="J306" ca="1">_xludf.XLOOKUP(G306,Label!$A$2:$A$309, Label!$C$2:$C$309)</f>
        <v>#NAME?</v>
      </c>
    </row>
    <row r="307" spans="1:10" ht="13">
      <c r="A307" s="4" t="s">
        <v>313</v>
      </c>
      <c r="B307" s="2" t="str">
        <f t="shared" si="3"/>
        <v>OK</v>
      </c>
      <c r="C307" s="5" t="s">
        <v>343</v>
      </c>
      <c r="E307" s="2" t="str">
        <f t="shared" si="4"/>
        <v>OK</v>
      </c>
      <c r="G307" s="3" t="s">
        <v>343</v>
      </c>
      <c r="H307" s="2" t="str">
        <f t="shared" si="5"/>
        <v>OK</v>
      </c>
      <c r="I307" s="2" t="e">
        <f t="array" aca="1" ref="I307" ca="1">_xludf.XLOOKUP(G307,Label!$A$2:$A$309, Label!$B$2:$B$309)</f>
        <v>#NAME?</v>
      </c>
      <c r="J307" s="2" t="e">
        <f t="array" aca="1" ref="J307" ca="1">_xludf.XLOOKUP(G307,Label!$A$2:$A$309, Label!$C$2:$C$309)</f>
        <v>#NAME?</v>
      </c>
    </row>
    <row r="308" spans="1:10" ht="13">
      <c r="A308" s="4" t="s">
        <v>314</v>
      </c>
      <c r="B308" s="2" t="str">
        <f t="shared" si="3"/>
        <v>OK</v>
      </c>
      <c r="C308" s="5" t="s">
        <v>344</v>
      </c>
      <c r="E308" s="2" t="str">
        <f t="shared" si="4"/>
        <v>OK</v>
      </c>
      <c r="G308" s="5" t="s">
        <v>344</v>
      </c>
      <c r="H308" s="2" t="str">
        <f t="shared" si="5"/>
        <v>OK</v>
      </c>
      <c r="I308" s="2" t="e">
        <f t="array" aca="1" ref="I308" ca="1">_xludf.XLOOKUP(G308,Label!$A$2:$A$309, Label!$B$2:$B$309)</f>
        <v>#NAME?</v>
      </c>
      <c r="J308" s="2" t="e">
        <f t="array" aca="1" ref="J308" ca="1">_xludf.XLOOKUP(G308,Label!$A$2:$A$309, Label!$C$2:$C$309)</f>
        <v>#NAME?</v>
      </c>
    </row>
    <row r="309" spans="1:10" ht="13">
      <c r="A309" s="4" t="s">
        <v>315</v>
      </c>
      <c r="B309" s="2" t="str">
        <f t="shared" si="3"/>
        <v>OK</v>
      </c>
      <c r="C309" s="5" t="s">
        <v>379</v>
      </c>
      <c r="E309" s="2" t="str">
        <f t="shared" si="4"/>
        <v>OK</v>
      </c>
      <c r="G309" s="3" t="s">
        <v>191</v>
      </c>
      <c r="H309" s="2" t="str">
        <f t="shared" si="5"/>
        <v>OK</v>
      </c>
      <c r="I309" s="2" t="e">
        <f t="array" aca="1" ref="I309" ca="1">_xludf.XLOOKUP(G309,Label!$A$2:$A$309, Label!$B$2:$B$309)</f>
        <v>#NAME?</v>
      </c>
      <c r="J309" s="2" t="e">
        <f t="array" aca="1" ref="J309" ca="1">_xludf.XLOOKUP(G309,Label!$A$2:$A$309, Label!$C$2:$C$309)</f>
        <v>#NAME?</v>
      </c>
    </row>
    <row r="310" spans="1:10" ht="13">
      <c r="A310" s="4" t="s">
        <v>316</v>
      </c>
      <c r="B310" s="2" t="str">
        <f t="shared" si="3"/>
        <v>OK</v>
      </c>
      <c r="C310" s="5" t="s">
        <v>380</v>
      </c>
      <c r="E310" s="2" t="str">
        <f t="shared" si="4"/>
        <v>OK</v>
      </c>
      <c r="G310" s="5" t="s">
        <v>192</v>
      </c>
      <c r="H310" s="2" t="str">
        <f t="shared" si="5"/>
        <v>OK</v>
      </c>
      <c r="I310" s="2" t="e">
        <f t="array" aca="1" ref="I310" ca="1">_xludf.XLOOKUP(G310,Label!$A$2:$A$309, Label!$B$2:$B$309)</f>
        <v>#NAME?</v>
      </c>
      <c r="J310" s="2" t="e">
        <f t="array" aca="1" ref="J310" ca="1">_xludf.XLOOKUP(G310,Label!$A$2:$A$309, Label!$C$2:$C$309)</f>
        <v>#NAME?</v>
      </c>
    </row>
    <row r="311" spans="1:10" ht="13">
      <c r="A311" s="4" t="s">
        <v>409</v>
      </c>
      <c r="B311" s="2" t="str">
        <f t="shared" si="3"/>
        <v>no</v>
      </c>
      <c r="C311" s="5" t="s">
        <v>381</v>
      </c>
      <c r="E311" s="2" t="str">
        <f t="shared" si="4"/>
        <v>OK</v>
      </c>
      <c r="G311" s="5" t="s">
        <v>345</v>
      </c>
      <c r="H311" s="2" t="str">
        <f t="shared" si="5"/>
        <v>no</v>
      </c>
      <c r="I311" s="2" t="e">
        <f t="array" aca="1" ref="I311" ca="1">_xludf.XLOOKUP(G311,Conflict!$A$2:$A$35,Conflict!$I$2:$I$35)</f>
        <v>#NAME?</v>
      </c>
      <c r="J311" s="2" t="e">
        <f t="array" aca="1" ref="J311" ca="1">_xludf.XLOOKUP(G311,Conflict!$A$2:$A$35,Conflict!$J$2:$J$35)</f>
        <v>#NAME?</v>
      </c>
    </row>
    <row r="312" spans="1:10" ht="13">
      <c r="A312" s="4" t="s">
        <v>316</v>
      </c>
      <c r="B312" s="2" t="str">
        <f t="shared" si="3"/>
        <v>OK</v>
      </c>
      <c r="C312" s="5" t="s">
        <v>382</v>
      </c>
      <c r="E312" s="2" t="str">
        <f t="shared" si="4"/>
        <v>OK</v>
      </c>
      <c r="G312" s="5" t="s">
        <v>346</v>
      </c>
      <c r="H312" s="2" t="str">
        <f t="shared" si="5"/>
        <v>no</v>
      </c>
      <c r="I312" s="2" t="e">
        <f t="array" aca="1" ref="I312" ca="1">_xludf.XLOOKUP(G312,Conflict!$A$2:$A$35,Conflict!$I$2:$I$35)</f>
        <v>#NAME?</v>
      </c>
      <c r="J312" s="2" t="e">
        <f t="array" aca="1" ref="J312" ca="1">_xludf.XLOOKUP(G312,Conflict!$A$2:$A$35,Conflict!$J$2:$J$35)</f>
        <v>#NAME?</v>
      </c>
    </row>
    <row r="313" spans="1:10" ht="13">
      <c r="A313" s="4" t="s">
        <v>317</v>
      </c>
      <c r="B313" s="2" t="str">
        <f t="shared" si="3"/>
        <v>OK</v>
      </c>
      <c r="C313" s="5" t="s">
        <v>383</v>
      </c>
      <c r="E313" s="2" t="str">
        <f t="shared" si="4"/>
        <v>OK</v>
      </c>
      <c r="G313" s="5" t="s">
        <v>347</v>
      </c>
      <c r="H313" s="2" t="str">
        <f t="shared" si="5"/>
        <v>no</v>
      </c>
      <c r="I313" s="2" t="e">
        <f t="array" aca="1" ref="I313" ca="1">_xludf.XLOOKUP(G313,Conflict!$A$2:$A$35,Conflict!$I$2:$I$35)</f>
        <v>#NAME?</v>
      </c>
      <c r="J313" s="2" t="e">
        <f t="array" aca="1" ref="J313" ca="1">_xludf.XLOOKUP(G313,Conflict!$A$2:$A$35,Conflict!$J$2:$J$35)</f>
        <v>#NAME?</v>
      </c>
    </row>
    <row r="314" spans="1:10" ht="13">
      <c r="A314" s="4" t="s">
        <v>318</v>
      </c>
      <c r="B314" s="2" t="str">
        <f t="shared" si="3"/>
        <v>OK</v>
      </c>
      <c r="C314" s="5" t="s">
        <v>384</v>
      </c>
      <c r="E314" s="2" t="str">
        <f t="shared" si="4"/>
        <v>OK</v>
      </c>
      <c r="G314" s="5" t="s">
        <v>348</v>
      </c>
      <c r="H314" s="2" t="str">
        <f t="shared" si="5"/>
        <v>no</v>
      </c>
      <c r="I314" s="2" t="e">
        <f t="array" aca="1" ref="I314" ca="1">_xludf.XLOOKUP(G314,Conflict!$A$2:$A$35,Conflict!$I$2:$I$35)</f>
        <v>#NAME?</v>
      </c>
      <c r="J314" s="2" t="e">
        <f t="array" aca="1" ref="J314" ca="1">_xludf.XLOOKUP(G314,Conflict!$A$2:$A$35,Conflict!$J$2:$J$35)</f>
        <v>#NAME?</v>
      </c>
    </row>
    <row r="315" spans="1:10" ht="13">
      <c r="A315" s="4" t="s">
        <v>319</v>
      </c>
      <c r="B315" s="2" t="str">
        <f t="shared" si="3"/>
        <v>OK</v>
      </c>
      <c r="C315" s="5" t="s">
        <v>385</v>
      </c>
      <c r="E315" s="2" t="str">
        <f t="shared" si="4"/>
        <v>OK</v>
      </c>
      <c r="G315" s="5" t="s">
        <v>349</v>
      </c>
      <c r="H315" s="2" t="str">
        <f t="shared" si="5"/>
        <v>no</v>
      </c>
      <c r="I315" s="2" t="e">
        <f t="array" aca="1" ref="I315" ca="1">_xludf.XLOOKUP(G315,Conflict!$A$2:$A$35,Conflict!$I$2:$I$35)</f>
        <v>#NAME?</v>
      </c>
      <c r="J315" s="2" t="e">
        <f t="array" aca="1" ref="J315" ca="1">_xludf.XLOOKUP(G315,Conflict!$A$2:$A$35,Conflict!$J$2:$J$35)</f>
        <v>#NAME?</v>
      </c>
    </row>
    <row r="316" spans="1:10" ht="13">
      <c r="A316" s="4" t="s">
        <v>320</v>
      </c>
      <c r="B316" s="2" t="str">
        <f t="shared" si="3"/>
        <v>OK</v>
      </c>
      <c r="C316" s="5" t="s">
        <v>386</v>
      </c>
      <c r="E316" s="2" t="str">
        <f t="shared" si="4"/>
        <v>OK</v>
      </c>
      <c r="G316" s="5" t="s">
        <v>350</v>
      </c>
      <c r="H316" s="2" t="str">
        <f t="shared" si="5"/>
        <v>no</v>
      </c>
      <c r="I316" s="2" t="e">
        <f t="array" aca="1" ref="I316" ca="1">_xludf.XLOOKUP(G316,Conflict!$A$2:$A$35,Conflict!$I$2:$I$35)</f>
        <v>#NAME?</v>
      </c>
      <c r="J316" s="2" t="e">
        <f t="array" aca="1" ref="J316" ca="1">_xludf.XLOOKUP(G316,Conflict!$A$2:$A$35,Conflict!$J$2:$J$35)</f>
        <v>#NAME?</v>
      </c>
    </row>
    <row r="317" spans="1:10" ht="13">
      <c r="A317" s="4" t="s">
        <v>321</v>
      </c>
      <c r="B317" s="2" t="str">
        <f t="shared" si="3"/>
        <v>OK</v>
      </c>
      <c r="C317" s="5" t="s">
        <v>387</v>
      </c>
      <c r="E317" s="2" t="str">
        <f t="shared" si="4"/>
        <v>OK</v>
      </c>
      <c r="G317" s="5" t="s">
        <v>351</v>
      </c>
      <c r="H317" s="2" t="str">
        <f t="shared" si="5"/>
        <v>no</v>
      </c>
      <c r="I317" s="2" t="e">
        <f t="array" aca="1" ref="I317" ca="1">_xludf.XLOOKUP(G317,Conflict!$A$2:$A$35,Conflict!$I$2:$I$35)</f>
        <v>#NAME?</v>
      </c>
      <c r="J317" s="2" t="e">
        <f t="array" aca="1" ref="J317" ca="1">_xludf.XLOOKUP(G317,Conflict!$A$2:$A$35,Conflict!$J$2:$J$35)</f>
        <v>#NAME?</v>
      </c>
    </row>
    <row r="318" spans="1:10" ht="13">
      <c r="A318" s="4" t="s">
        <v>322</v>
      </c>
      <c r="B318" s="2" t="str">
        <f t="shared" si="3"/>
        <v>OK</v>
      </c>
      <c r="C318" s="5" t="s">
        <v>388</v>
      </c>
      <c r="E318" s="2" t="str">
        <f t="shared" si="4"/>
        <v>OK</v>
      </c>
      <c r="G318" s="3" t="s">
        <v>352</v>
      </c>
      <c r="H318" s="2" t="str">
        <f t="shared" si="5"/>
        <v>no</v>
      </c>
      <c r="I318" s="2" t="e">
        <f t="array" aca="1" ref="I318" ca="1">_xludf.XLOOKUP(G318,Conflict!$A$2:$A$35,Conflict!$I$2:$I$35)</f>
        <v>#NAME?</v>
      </c>
      <c r="J318" s="2" t="e">
        <f t="array" aca="1" ref="J318" ca="1">_xludf.XLOOKUP(G318,Conflict!$A$2:$A$35,Conflict!$J$2:$J$35)</f>
        <v>#NAME?</v>
      </c>
    </row>
    <row r="319" spans="1:10" ht="13">
      <c r="A319" s="4" t="s">
        <v>323</v>
      </c>
      <c r="B319" s="2" t="str">
        <f t="shared" si="3"/>
        <v>OK</v>
      </c>
      <c r="C319" s="5" t="s">
        <v>389</v>
      </c>
      <c r="E319" s="2" t="str">
        <f t="shared" si="4"/>
        <v>OK</v>
      </c>
      <c r="G319" s="5" t="s">
        <v>353</v>
      </c>
      <c r="H319" s="2" t="str">
        <f t="shared" si="5"/>
        <v>no</v>
      </c>
      <c r="I319" s="2" t="e">
        <f t="array" aca="1" ref="I319" ca="1">_xludf.XLOOKUP(G319,Conflict!$A$2:$A$35,Conflict!$I$2:$I$35)</f>
        <v>#NAME?</v>
      </c>
      <c r="J319" s="2" t="e">
        <f t="array" aca="1" ref="J319" ca="1">_xludf.XLOOKUP(G319,Conflict!$A$2:$A$35,Conflict!$J$2:$J$35)</f>
        <v>#NAME?</v>
      </c>
    </row>
    <row r="320" spans="1:10" ht="13">
      <c r="A320" s="4" t="s">
        <v>324</v>
      </c>
      <c r="B320" s="2" t="str">
        <f t="shared" si="3"/>
        <v>OK</v>
      </c>
      <c r="C320" s="5" t="s">
        <v>390</v>
      </c>
      <c r="E320" s="2" t="str">
        <f t="shared" si="4"/>
        <v>OK</v>
      </c>
      <c r="G320" s="5" t="s">
        <v>354</v>
      </c>
      <c r="H320" s="2" t="str">
        <f t="shared" si="5"/>
        <v>no</v>
      </c>
      <c r="I320" s="2" t="e">
        <f t="array" aca="1" ref="I320" ca="1">_xludf.XLOOKUP(G320,Conflict!$A$2:$A$35,Conflict!$I$2:$I$35)</f>
        <v>#NAME?</v>
      </c>
      <c r="J320" s="2" t="e">
        <f t="array" aca="1" ref="J320" ca="1">_xludf.XLOOKUP(G320,Conflict!$A$2:$A$35,Conflict!$J$2:$J$35)</f>
        <v>#NAME?</v>
      </c>
    </row>
    <row r="321" spans="1:10" ht="13">
      <c r="A321" s="4" t="s">
        <v>325</v>
      </c>
      <c r="B321" s="2" t="str">
        <f t="shared" si="3"/>
        <v>OK</v>
      </c>
      <c r="C321" s="5" t="s">
        <v>391</v>
      </c>
      <c r="E321" s="2" t="str">
        <f t="shared" si="4"/>
        <v>OK</v>
      </c>
      <c r="G321" s="5" t="s">
        <v>355</v>
      </c>
      <c r="H321" s="2" t="str">
        <f t="shared" si="5"/>
        <v>no</v>
      </c>
      <c r="I321" s="2" t="e">
        <f t="array" aca="1" ref="I321" ca="1">_xludf.XLOOKUP(G321,Conflict!$A$2:$A$35,Conflict!$I$2:$I$35)</f>
        <v>#NAME?</v>
      </c>
      <c r="J321" s="2" t="e">
        <f t="array" aca="1" ref="J321" ca="1">_xludf.XLOOKUP(G321,Conflict!$A$2:$A$35,Conflict!$J$2:$J$35)</f>
        <v>#NAME?</v>
      </c>
    </row>
    <row r="322" spans="1:10" ht="13">
      <c r="A322" s="4" t="s">
        <v>326</v>
      </c>
      <c r="B322" s="2" t="str">
        <f t="shared" si="3"/>
        <v>OK</v>
      </c>
      <c r="C322" s="5" t="s">
        <v>392</v>
      </c>
      <c r="E322" s="2" t="str">
        <f t="shared" si="4"/>
        <v>OK</v>
      </c>
      <c r="G322" s="5" t="s">
        <v>356</v>
      </c>
      <c r="H322" s="2" t="str">
        <f t="shared" si="5"/>
        <v>no</v>
      </c>
      <c r="I322" s="2" t="e">
        <f t="array" aca="1" ref="I322" ca="1">_xludf.XLOOKUP(G322,Conflict!$A$2:$A$35,Conflict!$I$2:$I$35)</f>
        <v>#NAME?</v>
      </c>
      <c r="J322" s="2" t="e">
        <f t="array" aca="1" ref="J322" ca="1">_xludf.XLOOKUP(G322,Conflict!$A$2:$A$35,Conflict!$J$2:$J$35)</f>
        <v>#NAME?</v>
      </c>
    </row>
    <row r="323" spans="1:10" ht="13">
      <c r="A323" s="4" t="s">
        <v>327</v>
      </c>
      <c r="B323" s="2" t="str">
        <f t="shared" si="3"/>
        <v>OK</v>
      </c>
      <c r="C323" s="5" t="s">
        <v>393</v>
      </c>
      <c r="E323" s="2" t="str">
        <f t="shared" si="4"/>
        <v>OK</v>
      </c>
      <c r="G323" s="5" t="s">
        <v>357</v>
      </c>
      <c r="H323" s="2" t="str">
        <f t="shared" si="5"/>
        <v>no</v>
      </c>
      <c r="I323" s="2" t="e">
        <f t="array" aca="1" ref="I323" ca="1">_xludf.XLOOKUP(G323,Conflict!$A$2:$A$35,Conflict!$I$2:$I$35)</f>
        <v>#NAME?</v>
      </c>
      <c r="J323" s="2" t="e">
        <f t="array" aca="1" ref="J323" ca="1">_xludf.XLOOKUP(G323,Conflict!$A$2:$A$35,Conflict!$J$2:$J$35)</f>
        <v>#NAME?</v>
      </c>
    </row>
    <row r="324" spans="1:10" ht="13">
      <c r="A324" s="4" t="s">
        <v>328</v>
      </c>
      <c r="B324" s="2" t="str">
        <f t="shared" si="3"/>
        <v>OK</v>
      </c>
      <c r="C324" s="5" t="s">
        <v>394</v>
      </c>
      <c r="E324" s="2" t="str">
        <f t="shared" si="4"/>
        <v>OK</v>
      </c>
      <c r="G324" s="5" t="s">
        <v>358</v>
      </c>
      <c r="H324" s="2" t="str">
        <f t="shared" si="5"/>
        <v>no</v>
      </c>
      <c r="I324" s="2" t="e">
        <f t="array" aca="1" ref="I324" ca="1">_xludf.XLOOKUP(G324,Conflict!$A$2:$A$35,Conflict!$I$2:$I$35)</f>
        <v>#NAME?</v>
      </c>
      <c r="J324" s="2" t="e">
        <f t="array" aca="1" ref="J324" ca="1">_xludf.XLOOKUP(G324,Conflict!$A$2:$A$35,Conflict!$J$2:$J$35)</f>
        <v>#NAME?</v>
      </c>
    </row>
    <row r="325" spans="1:10" ht="13">
      <c r="A325" s="4" t="s">
        <v>329</v>
      </c>
      <c r="B325" s="2" t="str">
        <f t="shared" si="3"/>
        <v>OK</v>
      </c>
      <c r="C325" s="5" t="s">
        <v>395</v>
      </c>
      <c r="E325" s="2" t="str">
        <f t="shared" si="4"/>
        <v>OK</v>
      </c>
      <c r="G325" s="5" t="s">
        <v>359</v>
      </c>
      <c r="H325" s="2" t="str">
        <f t="shared" si="5"/>
        <v>no</v>
      </c>
      <c r="I325" s="2" t="e">
        <f t="array" aca="1" ref="I325" ca="1">_xludf.XLOOKUP(G325,Conflict!$A$2:$A$35,Conflict!$I$2:$I$35)</f>
        <v>#NAME?</v>
      </c>
      <c r="J325" s="2" t="e">
        <f t="array" aca="1" ref="J325" ca="1">_xludf.XLOOKUP(G325,Conflict!$A$2:$A$35,Conflict!$J$2:$J$35)</f>
        <v>#NAME?</v>
      </c>
    </row>
    <row r="326" spans="1:10" ht="13">
      <c r="A326" s="4" t="s">
        <v>330</v>
      </c>
      <c r="B326" s="2" t="str">
        <f t="shared" si="3"/>
        <v>OK</v>
      </c>
      <c r="C326" s="5" t="s">
        <v>396</v>
      </c>
      <c r="E326" s="2" t="str">
        <f t="shared" si="4"/>
        <v>OK</v>
      </c>
      <c r="G326" s="5" t="s">
        <v>360</v>
      </c>
      <c r="H326" s="2" t="str">
        <f t="shared" si="5"/>
        <v>no</v>
      </c>
      <c r="I326" s="2" t="e">
        <f t="array" aca="1" ref="I326" ca="1">_xludf.XLOOKUP(G326,Conflict!$A$2:$A$35,Conflict!$I$2:$I$35)</f>
        <v>#NAME?</v>
      </c>
      <c r="J326" s="2" t="e">
        <f t="array" aca="1" ref="J326" ca="1">_xludf.XLOOKUP(G326,Conflict!$A$2:$A$35,Conflict!$J$2:$J$35)</f>
        <v>#NAME?</v>
      </c>
    </row>
    <row r="327" spans="1:10" ht="13">
      <c r="A327" s="4" t="s">
        <v>331</v>
      </c>
      <c r="B327" s="2" t="str">
        <f t="shared" si="3"/>
        <v>OK</v>
      </c>
      <c r="C327" s="5" t="s">
        <v>397</v>
      </c>
      <c r="E327" s="2" t="str">
        <f t="shared" si="4"/>
        <v>OK</v>
      </c>
      <c r="G327" s="5" t="s">
        <v>361</v>
      </c>
      <c r="H327" s="2" t="str">
        <f t="shared" si="5"/>
        <v>no</v>
      </c>
      <c r="I327" s="2" t="e">
        <f t="array" aca="1" ref="I327" ca="1">_xludf.XLOOKUP(G327,Conflict!$A$2:$A$35,Conflict!$I$2:$I$35)</f>
        <v>#NAME?</v>
      </c>
      <c r="J327" s="2" t="e">
        <f t="array" aca="1" ref="J327" ca="1">_xludf.XLOOKUP(G327,Conflict!$A$2:$A$35,Conflict!$J$2:$J$35)</f>
        <v>#NAME?</v>
      </c>
    </row>
    <row r="328" spans="1:10" ht="13">
      <c r="A328" s="4" t="s">
        <v>332</v>
      </c>
      <c r="B328" s="2" t="str">
        <f t="shared" si="3"/>
        <v>OK</v>
      </c>
      <c r="C328" s="5" t="s">
        <v>398</v>
      </c>
      <c r="E328" s="2" t="str">
        <f t="shared" si="4"/>
        <v>OK</v>
      </c>
      <c r="G328" s="5" t="s">
        <v>362</v>
      </c>
      <c r="H328" s="2" t="str">
        <f t="shared" si="5"/>
        <v>no</v>
      </c>
      <c r="I328" s="2" t="e">
        <f t="array" aca="1" ref="I328" ca="1">_xludf.XLOOKUP(G328,Conflict!$A$2:$A$35,Conflict!$I$2:$I$35)</f>
        <v>#NAME?</v>
      </c>
      <c r="J328" s="2" t="e">
        <f t="array" aca="1" ref="J328" ca="1">_xludf.XLOOKUP(G328,Conflict!$A$2:$A$35,Conflict!$J$2:$J$35)</f>
        <v>#NAME?</v>
      </c>
    </row>
    <row r="329" spans="1:10" ht="13">
      <c r="A329" s="4" t="s">
        <v>333</v>
      </c>
      <c r="B329" s="2" t="str">
        <f t="shared" si="3"/>
        <v>OK</v>
      </c>
      <c r="C329" s="5" t="s">
        <v>399</v>
      </c>
      <c r="E329" s="2" t="str">
        <f t="shared" si="4"/>
        <v>OK</v>
      </c>
      <c r="G329" s="5" t="s">
        <v>363</v>
      </c>
      <c r="H329" s="2" t="str">
        <f t="shared" si="5"/>
        <v>no</v>
      </c>
      <c r="I329" s="2" t="e">
        <f t="array" aca="1" ref="I329" ca="1">_xludf.XLOOKUP(G329,Conflict!$A$2:$A$35,Conflict!$I$2:$I$35)</f>
        <v>#NAME?</v>
      </c>
      <c r="J329" s="2" t="e">
        <f t="array" aca="1" ref="J329" ca="1">_xludf.XLOOKUP(G329,Conflict!$A$2:$A$35,Conflict!$J$2:$J$35)</f>
        <v>#NAME?</v>
      </c>
    </row>
    <row r="330" spans="1:10" ht="13">
      <c r="A330" s="4" t="s">
        <v>334</v>
      </c>
      <c r="B330" s="2" t="str">
        <f t="shared" si="3"/>
        <v>OK</v>
      </c>
      <c r="C330" s="5" t="s">
        <v>400</v>
      </c>
      <c r="E330" s="2" t="str">
        <f t="shared" si="4"/>
        <v>OK</v>
      </c>
      <c r="G330" s="5" t="s">
        <v>364</v>
      </c>
      <c r="H330" s="2" t="str">
        <f t="shared" si="5"/>
        <v>no</v>
      </c>
      <c r="I330" s="2" t="e">
        <f t="array" aca="1" ref="I330" ca="1">_xludf.XLOOKUP(G330,Conflict!$A$2:$A$35,Conflict!$I$2:$I$35)</f>
        <v>#NAME?</v>
      </c>
      <c r="J330" s="2" t="e">
        <f t="array" aca="1" ref="J330" ca="1">_xludf.XLOOKUP(G330,Conflict!$A$2:$A$35,Conflict!$J$2:$J$35)</f>
        <v>#NAME?</v>
      </c>
    </row>
    <row r="331" spans="1:10" ht="13">
      <c r="A331" s="4" t="s">
        <v>335</v>
      </c>
      <c r="B331" s="2" t="str">
        <f t="shared" si="3"/>
        <v>OK</v>
      </c>
      <c r="C331" s="5" t="s">
        <v>401</v>
      </c>
      <c r="E331" s="2" t="str">
        <f t="shared" si="4"/>
        <v>OK</v>
      </c>
      <c r="G331" s="5" t="s">
        <v>365</v>
      </c>
      <c r="H331" s="2" t="str">
        <f t="shared" si="5"/>
        <v>no</v>
      </c>
      <c r="I331" s="2" t="e">
        <f t="array" aca="1" ref="I331" ca="1">_xludf.XLOOKUP(G331,Conflict!$A$2:$A$35,Conflict!$I$2:$I$35)</f>
        <v>#NAME?</v>
      </c>
      <c r="J331" s="2" t="e">
        <f t="array" aca="1" ref="J331" ca="1">_xludf.XLOOKUP(G331,Conflict!$A$2:$A$35,Conflict!$J$2:$J$35)</f>
        <v>#NAME?</v>
      </c>
    </row>
    <row r="332" spans="1:10" ht="13">
      <c r="A332" s="4" t="s">
        <v>336</v>
      </c>
      <c r="B332" s="2" t="str">
        <f t="shared" si="3"/>
        <v>OK</v>
      </c>
      <c r="C332" s="5" t="s">
        <v>402</v>
      </c>
      <c r="E332" s="2" t="str">
        <f t="shared" si="4"/>
        <v>OK</v>
      </c>
      <c r="G332" s="5" t="s">
        <v>366</v>
      </c>
      <c r="H332" s="2" t="str">
        <f t="shared" si="5"/>
        <v>no</v>
      </c>
      <c r="I332" s="2" t="e">
        <f t="array" aca="1" ref="I332" ca="1">_xludf.XLOOKUP(G332,Conflict!$A$2:$A$35,Conflict!$I$2:$I$35)</f>
        <v>#NAME?</v>
      </c>
      <c r="J332" s="2" t="e">
        <f t="array" aca="1" ref="J332" ca="1">_xludf.XLOOKUP(G332,Conflict!$A$2:$A$35,Conflict!$J$2:$J$35)</f>
        <v>#NAME?</v>
      </c>
    </row>
    <row r="333" spans="1:10" ht="13">
      <c r="A333" s="4" t="s">
        <v>337</v>
      </c>
      <c r="B333" s="2" t="str">
        <f t="shared" si="3"/>
        <v>OK</v>
      </c>
      <c r="C333" s="5" t="s">
        <v>403</v>
      </c>
      <c r="E333" s="2" t="str">
        <f t="shared" si="4"/>
        <v>OK</v>
      </c>
      <c r="G333" s="5" t="s">
        <v>367</v>
      </c>
      <c r="H333" s="2" t="str">
        <f t="shared" si="5"/>
        <v>no</v>
      </c>
      <c r="I333" s="2" t="e">
        <f t="array" aca="1" ref="I333" ca="1">_xludf.XLOOKUP(G333,Conflict!$A$2:$A$35,Conflict!$I$2:$I$35)</f>
        <v>#NAME?</v>
      </c>
      <c r="J333" s="2" t="e">
        <f t="array" aca="1" ref="J333" ca="1">_xludf.XLOOKUP(G333,Conflict!$A$2:$A$35,Conflict!$J$2:$J$35)</f>
        <v>#NAME?</v>
      </c>
    </row>
    <row r="334" spans="1:10" ht="13">
      <c r="A334" s="4" t="s">
        <v>338</v>
      </c>
      <c r="B334" s="2" t="str">
        <f t="shared" si="3"/>
        <v>OK</v>
      </c>
      <c r="C334" s="5" t="s">
        <v>404</v>
      </c>
      <c r="E334" s="2" t="str">
        <f t="shared" si="4"/>
        <v>OK</v>
      </c>
      <c r="G334" s="5" t="s">
        <v>368</v>
      </c>
      <c r="H334" s="2" t="str">
        <f t="shared" si="5"/>
        <v>no</v>
      </c>
      <c r="I334" s="2" t="e">
        <f t="array" aca="1" ref="I334" ca="1">_xludf.XLOOKUP(G334,Conflict!$A$2:$A$35,Conflict!$I$2:$I$35)</f>
        <v>#NAME?</v>
      </c>
      <c r="J334" s="2" t="e">
        <f t="array" aca="1" ref="J334" ca="1">_xludf.XLOOKUP(G334,Conflict!$A$2:$A$35,Conflict!$J$2:$J$35)</f>
        <v>#NAME?</v>
      </c>
    </row>
    <row r="335" spans="1:10" ht="13">
      <c r="A335" s="4" t="s">
        <v>339</v>
      </c>
      <c r="B335" s="2" t="str">
        <f t="shared" si="3"/>
        <v>OK</v>
      </c>
      <c r="C335" s="5" t="s">
        <v>405</v>
      </c>
      <c r="E335" s="2" t="str">
        <f t="shared" si="4"/>
        <v>OK</v>
      </c>
      <c r="G335" s="5" t="s">
        <v>369</v>
      </c>
      <c r="H335" s="2" t="str">
        <f t="shared" si="5"/>
        <v>no</v>
      </c>
      <c r="I335" s="2" t="e">
        <f t="array" aca="1" ref="I335" ca="1">_xludf.XLOOKUP(G335,Conflict!$A$2:$A$35,Conflict!$I$2:$I$35)</f>
        <v>#NAME?</v>
      </c>
      <c r="J335" s="2" t="e">
        <f t="array" aca="1" ref="J335" ca="1">_xludf.XLOOKUP(G335,Conflict!$A$2:$A$35,Conflict!$J$2:$J$35)</f>
        <v>#NAME?</v>
      </c>
    </row>
    <row r="336" spans="1:10" ht="13">
      <c r="A336" s="6" t="s">
        <v>340</v>
      </c>
      <c r="B336" s="2" t="str">
        <f t="shared" si="3"/>
        <v>OK</v>
      </c>
      <c r="C336" s="2" t="s">
        <v>410</v>
      </c>
      <c r="G336" s="3" t="s">
        <v>370</v>
      </c>
      <c r="H336" s="2" t="str">
        <f t="shared" si="5"/>
        <v>no</v>
      </c>
      <c r="I336" s="2" t="e">
        <f t="array" aca="1" ref="I336" ca="1">_xludf.XLOOKUP(G336,Conflict!$A$2:$A$35,Conflict!$I$2:$I$35)</f>
        <v>#NAME?</v>
      </c>
      <c r="J336" s="2" t="e">
        <f t="array" aca="1" ref="J336" ca="1">_xludf.XLOOKUP(G336,Conflict!$A$2:$A$35,Conflict!$J$2:$J$35)</f>
        <v>#NAME?</v>
      </c>
    </row>
    <row r="337" spans="1:10" ht="13">
      <c r="A337" s="4" t="s">
        <v>341</v>
      </c>
      <c r="B337" s="2" t="str">
        <f t="shared" si="3"/>
        <v>OK</v>
      </c>
      <c r="C337" s="2" t="s">
        <v>410</v>
      </c>
      <c r="G337" s="3" t="s">
        <v>371</v>
      </c>
      <c r="H337" s="2" t="str">
        <f t="shared" si="5"/>
        <v>no</v>
      </c>
      <c r="I337" s="2" t="e">
        <f t="array" aca="1" ref="I337" ca="1">_xludf.XLOOKUP(G337,Conflict!$A$2:$A$35,Conflict!$I$2:$I$35)</f>
        <v>#NAME?</v>
      </c>
      <c r="J337" s="2" t="e">
        <f t="array" aca="1" ref="J337" ca="1">_xludf.XLOOKUP(G337,Conflict!$A$2:$A$35,Conflict!$J$2:$J$35)</f>
        <v>#NAME?</v>
      </c>
    </row>
    <row r="338" spans="1:10" ht="13">
      <c r="A338" s="4" t="s">
        <v>342</v>
      </c>
      <c r="B338" s="2" t="str">
        <f t="shared" si="3"/>
        <v>OK</v>
      </c>
      <c r="C338" s="2" t="s">
        <v>410</v>
      </c>
      <c r="G338" s="5" t="s">
        <v>372</v>
      </c>
      <c r="H338" s="2" t="str">
        <f t="shared" si="5"/>
        <v>no</v>
      </c>
      <c r="I338" s="2" t="e">
        <f t="array" aca="1" ref="I338" ca="1">_xludf.XLOOKUP(G338,Conflict!$A$2:$A$35,Conflict!$I$2:$I$35)</f>
        <v>#NAME?</v>
      </c>
      <c r="J338" s="2" t="e">
        <f t="array" aca="1" ref="J338" ca="1">_xludf.XLOOKUP(G338,Conflict!$A$2:$A$35,Conflict!$J$2:$J$35)</f>
        <v>#NAME?</v>
      </c>
    </row>
    <row r="339" spans="1:10" ht="13">
      <c r="A339" s="4" t="s">
        <v>343</v>
      </c>
      <c r="B339" s="2" t="str">
        <f t="shared" si="3"/>
        <v>OK</v>
      </c>
      <c r="C339" s="2" t="s">
        <v>410</v>
      </c>
      <c r="G339" s="5" t="s">
        <v>373</v>
      </c>
      <c r="H339" s="2" t="str">
        <f t="shared" si="5"/>
        <v>no</v>
      </c>
      <c r="I339" s="2" t="e">
        <f t="array" aca="1" ref="I339" ca="1">_xludf.XLOOKUP(G339,Conflict!$A$2:$A$35,Conflict!$I$2:$I$35)</f>
        <v>#NAME?</v>
      </c>
      <c r="J339" s="2" t="e">
        <f t="array" aca="1" ref="J339" ca="1">_xludf.XLOOKUP(G339,Conflict!$A$2:$A$35,Conflict!$J$2:$J$35)</f>
        <v>#NAME?</v>
      </c>
    </row>
    <row r="340" spans="1:10" ht="13">
      <c r="A340" s="4" t="s">
        <v>344</v>
      </c>
      <c r="B340" s="2" t="str">
        <f t="shared" si="3"/>
        <v>OK</v>
      </c>
      <c r="C340" s="2" t="s">
        <v>410</v>
      </c>
      <c r="G340" s="5" t="s">
        <v>374</v>
      </c>
      <c r="H340" s="2" t="str">
        <f t="shared" si="5"/>
        <v>no</v>
      </c>
      <c r="I340" s="2" t="e">
        <f t="array" aca="1" ref="I340" ca="1">_xludf.XLOOKUP(G340,Conflict!$A$2:$A$35,Conflict!$I$2:$I$35)</f>
        <v>#NAME?</v>
      </c>
      <c r="J340" s="2" t="e">
        <f t="array" aca="1" ref="J340" ca="1">_xludf.XLOOKUP(G340,Conflict!$A$2:$A$35,Conflict!$J$2:$J$35)</f>
        <v>#NAME?</v>
      </c>
    </row>
    <row r="341" spans="1:10" ht="13">
      <c r="C341" s="2"/>
      <c r="G341" s="5" t="s">
        <v>375</v>
      </c>
      <c r="H341" s="2" t="str">
        <f t="shared" si="5"/>
        <v>no</v>
      </c>
      <c r="I341" s="2" t="e">
        <f t="array" aca="1" ref="I341" ca="1">_xludf.XLOOKUP(G341,Conflict!$A$2:$A$35,Conflict!$I$2:$I$35)</f>
        <v>#NAME?</v>
      </c>
      <c r="J341" s="2" t="e">
        <f t="array" aca="1" ref="J341" ca="1">_xludf.XLOOKUP(G341,Conflict!$A$2:$A$35,Conflict!$J$2:$J$35)</f>
        <v>#NAME?</v>
      </c>
    </row>
    <row r="342" spans="1:10" ht="13">
      <c r="G342" s="5" t="s">
        <v>376</v>
      </c>
      <c r="H342" s="2" t="str">
        <f t="shared" si="5"/>
        <v>no</v>
      </c>
      <c r="I342" s="2" t="e">
        <f t="array" aca="1" ref="I342" ca="1">_xludf.XLOOKUP(G342,Conflict!$A$2:$A$35,Conflict!$I$2:$I$35)</f>
        <v>#NAME?</v>
      </c>
      <c r="J342" s="2" t="e">
        <f t="array" aca="1" ref="J342" ca="1">_xludf.XLOOKUP(G342,Conflict!$A$2:$A$35,Conflict!$J$2:$J$35)</f>
        <v>#NAME?</v>
      </c>
    </row>
    <row r="343" spans="1:10" ht="13">
      <c r="G343" s="5" t="s">
        <v>377</v>
      </c>
      <c r="H343" s="2" t="str">
        <f t="shared" si="5"/>
        <v>no</v>
      </c>
      <c r="I343" s="2" t="e">
        <f t="array" aca="1" ref="I343" ca="1">_xludf.XLOOKUP(G343,Conflict!$A$2:$A$35,Conflict!$I$2:$I$35)</f>
        <v>#NAME?</v>
      </c>
      <c r="J343" s="2" t="e">
        <f t="array" aca="1" ref="J343" ca="1">_xludf.XLOOKUP(G343,Conflict!$A$2:$A$35,Conflict!$J$2:$J$35)</f>
        <v>#NAME?</v>
      </c>
    </row>
    <row r="344" spans="1:10" ht="13">
      <c r="G344" s="5" t="s">
        <v>378</v>
      </c>
      <c r="H344" s="2" t="str">
        <f t="shared" si="5"/>
        <v>no</v>
      </c>
      <c r="I344" s="2" t="e">
        <f t="array" aca="1" ref="I344" ca="1">_xludf.XLOOKUP(G344,Conflict!$A$2:$A$35,Conflict!$I$2:$I$35)</f>
        <v>#NAME?</v>
      </c>
      <c r="J344" s="2" t="e">
        <f t="array" aca="1" ref="J344" ca="1">_xludf.XLOOKUP(G344,Conflict!$A$2:$A$35,Conflict!$J$2:$J$35)</f>
        <v>#NAME?</v>
      </c>
    </row>
    <row r="345" spans="1:10" ht="13">
      <c r="A345" s="2" t="s">
        <v>411</v>
      </c>
      <c r="C345" s="2"/>
    </row>
    <row r="346" spans="1:10" ht="13">
      <c r="C346" s="2"/>
    </row>
    <row r="348" spans="1:10" ht="13">
      <c r="G348" s="2" t="s">
        <v>412</v>
      </c>
    </row>
    <row r="359" spans="3:7" ht="13">
      <c r="G359" s="2"/>
    </row>
    <row r="360" spans="3:7" ht="13">
      <c r="C360" s="2"/>
    </row>
    <row r="361" spans="3:7" ht="13">
      <c r="C361" s="2"/>
    </row>
    <row r="362" spans="3:7" ht="13">
      <c r="C362" s="2"/>
    </row>
    <row r="363" spans="3:7" ht="13">
      <c r="C363" s="2"/>
    </row>
    <row r="364" spans="3:7" ht="13">
      <c r="C364" s="2"/>
    </row>
    <row r="365" spans="3:7" ht="13">
      <c r="C365" s="2"/>
    </row>
    <row r="366" spans="3:7" ht="13">
      <c r="C366" s="2"/>
    </row>
    <row r="367" spans="3:7" ht="13">
      <c r="C367" s="2"/>
    </row>
    <row r="368" spans="3:7" ht="13">
      <c r="C368" s="2"/>
    </row>
    <row r="369" spans="3:7" ht="13">
      <c r="C369" s="2"/>
    </row>
    <row r="370" spans="3:7" ht="13">
      <c r="C370" s="2"/>
    </row>
    <row r="378" spans="3:7" ht="13">
      <c r="G378" s="2"/>
    </row>
  </sheetData>
  <phoneticPr fontId="11"/>
  <hyperlinks>
    <hyperlink ref="A1" r:id="rId1" location="discussion_r602729163" xr:uid="{00000000-0004-0000-0100-000000000000}"/>
    <hyperlink ref="C1" r:id="rId2" location="discussion_r1083565846" xr:uid="{00000000-0004-0000-0100-000001000000}"/>
    <hyperlink ref="G1" r:id="rId3" location="discussion_r1083565846" xr:uid="{00000000-0004-0000-0100-000002000000}"/>
    <hyperlink ref="A2" r:id="rId4" location="issuecomment-818063376" xr:uid="{00000000-0004-0000-0100-000003000000}"/>
    <hyperlink ref="C2" r:id="rId5" location="discussion_r1083724374" xr:uid="{00000000-0004-0000-0100-000004000000}"/>
    <hyperlink ref="G2" r:id="rId6" location="discussion_r1083724374" xr:uid="{00000000-0004-0000-0100-000005000000}"/>
    <hyperlink ref="A3" r:id="rId7" location="issuecomment-850596423" xr:uid="{00000000-0004-0000-0100-000006000000}"/>
    <hyperlink ref="C3" r:id="rId8" location="discussion_r1074023214" xr:uid="{00000000-0004-0000-0100-000007000000}"/>
    <hyperlink ref="G3" r:id="rId9" location="discussion_r1074023214" xr:uid="{00000000-0004-0000-0100-000008000000}"/>
    <hyperlink ref="A4" r:id="rId10" location="issuecomment-850776321" xr:uid="{00000000-0004-0000-0100-000009000000}"/>
    <hyperlink ref="C4" r:id="rId11" location="issuecomment-1383873154" xr:uid="{00000000-0004-0000-0100-00000A000000}"/>
    <hyperlink ref="G4" r:id="rId12" location="issuecomment-1383873154" xr:uid="{00000000-0004-0000-0100-00000B000000}"/>
    <hyperlink ref="A5" r:id="rId13" location="issuecomment-870014559" xr:uid="{00000000-0004-0000-0100-00000C000000}"/>
    <hyperlink ref="C5" r:id="rId14" location="issuecomment-1440357711" xr:uid="{00000000-0004-0000-0100-00000D000000}"/>
    <hyperlink ref="G5" r:id="rId15" location="issuecomment-1440357711" xr:uid="{00000000-0004-0000-0100-00000E000000}"/>
    <hyperlink ref="A6" r:id="rId16" location="issuecomment-849190817" xr:uid="{00000000-0004-0000-0100-00000F000000}"/>
    <hyperlink ref="C6" r:id="rId17" location="issuecomment-1426807019" xr:uid="{00000000-0004-0000-0100-000010000000}"/>
    <hyperlink ref="G6" r:id="rId18" location="issuecomment-1426807019" xr:uid="{00000000-0004-0000-0100-000011000000}"/>
    <hyperlink ref="A7" r:id="rId19" location="issuecomment-966653132" xr:uid="{00000000-0004-0000-0100-000012000000}"/>
    <hyperlink ref="C7" r:id="rId20" location="issuecomment-1422355751" xr:uid="{00000000-0004-0000-0100-000013000000}"/>
    <hyperlink ref="G7" r:id="rId21" location="issuecomment-1422355751" xr:uid="{00000000-0004-0000-0100-000014000000}"/>
    <hyperlink ref="A8" r:id="rId22" location="issuecomment-966699322" xr:uid="{00000000-0004-0000-0100-000015000000}"/>
    <hyperlink ref="C8" r:id="rId23" location="issuecomment-1422375286" xr:uid="{00000000-0004-0000-0100-000016000000}"/>
    <hyperlink ref="G8" r:id="rId24" location="issuecomment-1422375286" xr:uid="{00000000-0004-0000-0100-000017000000}"/>
    <hyperlink ref="A9" r:id="rId25" location="discussion_r784963783" xr:uid="{00000000-0004-0000-0100-000018000000}"/>
    <hyperlink ref="C9" r:id="rId26" location="issuecomment-1422416345" xr:uid="{00000000-0004-0000-0100-000019000000}"/>
    <hyperlink ref="G9" r:id="rId27" location="issuecomment-1422416345" xr:uid="{00000000-0004-0000-0100-00001A000000}"/>
    <hyperlink ref="A10" r:id="rId28" location="discussion_r787954027" xr:uid="{00000000-0004-0000-0100-00001B000000}"/>
    <hyperlink ref="C10" r:id="rId29" location="discussion_r1146494323" xr:uid="{00000000-0004-0000-0100-00001C000000}"/>
    <hyperlink ref="G10" r:id="rId30" location="discussion_r1146494323" xr:uid="{00000000-0004-0000-0100-00001D000000}"/>
    <hyperlink ref="A11" r:id="rId31" location="issuecomment-1246339422" xr:uid="{00000000-0004-0000-0100-00001E000000}"/>
    <hyperlink ref="C11" r:id="rId32" location="issuecomment-1481577294" xr:uid="{00000000-0004-0000-0100-00001F000000}"/>
    <hyperlink ref="G11" r:id="rId33" location="issuecomment-1481577294" xr:uid="{00000000-0004-0000-0100-000020000000}"/>
    <hyperlink ref="A12" r:id="rId34" location="discussion_r836569925" xr:uid="{00000000-0004-0000-0100-000021000000}"/>
    <hyperlink ref="C12" r:id="rId35" location="issuecomment-1486132202" xr:uid="{00000000-0004-0000-0100-000022000000}"/>
    <hyperlink ref="G12" r:id="rId36" location="issuecomment-1486132202" xr:uid="{00000000-0004-0000-0100-000023000000}"/>
    <hyperlink ref="A13" r:id="rId37" location="issuecomment-1120316930" xr:uid="{00000000-0004-0000-0100-000024000000}"/>
    <hyperlink ref="C13" r:id="rId38" location="issuecomment-1486151336" xr:uid="{00000000-0004-0000-0100-000025000000}"/>
    <hyperlink ref="G13" r:id="rId39" location="issuecomment-1486151336" xr:uid="{00000000-0004-0000-0100-000026000000}"/>
    <hyperlink ref="A14" r:id="rId40" location="issuecomment-1148346047" xr:uid="{00000000-0004-0000-0100-000027000000}"/>
    <hyperlink ref="C14" r:id="rId41" location="discussion_r1127264221" xr:uid="{00000000-0004-0000-0100-000028000000}"/>
    <hyperlink ref="G14" r:id="rId42" location="discussion_r1127264221" xr:uid="{00000000-0004-0000-0100-000029000000}"/>
    <hyperlink ref="A15" r:id="rId43" location="issuecomment-1261199307" xr:uid="{00000000-0004-0000-0100-00002A000000}"/>
    <hyperlink ref="C15" r:id="rId44" location="issuecomment-1482782327" xr:uid="{00000000-0004-0000-0100-00002B000000}"/>
    <hyperlink ref="G15" r:id="rId45" location="issuecomment-1482782327" xr:uid="{00000000-0004-0000-0100-00002C000000}"/>
    <hyperlink ref="A16" r:id="rId46" location="issuecomment-1261201874" xr:uid="{00000000-0004-0000-0100-00002D000000}"/>
    <hyperlink ref="C16" r:id="rId47" location="issuecomment-1485049856" xr:uid="{00000000-0004-0000-0100-00002E000000}"/>
    <hyperlink ref="G16" r:id="rId48" location="issuecomment-1485049856" xr:uid="{00000000-0004-0000-0100-00002F000000}"/>
    <hyperlink ref="A17" r:id="rId49" location="discussion_r1234043008" xr:uid="{00000000-0004-0000-0100-000030000000}"/>
    <hyperlink ref="C17" r:id="rId50" location="issuecomment-1468376389" xr:uid="{00000000-0004-0000-0100-000031000000}"/>
    <hyperlink ref="G17" r:id="rId51" location="issuecomment-1468376389" xr:uid="{00000000-0004-0000-0100-000032000000}"/>
    <hyperlink ref="A18" r:id="rId52" location="issuecomment-1986490667" xr:uid="{00000000-0004-0000-0100-000033000000}"/>
    <hyperlink ref="C18" r:id="rId53" location="discussion_r1155937820" xr:uid="{00000000-0004-0000-0100-000034000000}"/>
    <hyperlink ref="G18" r:id="rId54" location="discussion_r1155937820" xr:uid="{00000000-0004-0000-0100-000035000000}"/>
    <hyperlink ref="A19" r:id="rId55" location="issuecomment-1638520839" xr:uid="{00000000-0004-0000-0100-000036000000}"/>
    <hyperlink ref="C19" r:id="rId56" location="issuecomment-1513081507" xr:uid="{00000000-0004-0000-0100-000037000000}"/>
    <hyperlink ref="G19" r:id="rId57" location="issuecomment-1513081507" xr:uid="{00000000-0004-0000-0100-000038000000}"/>
    <hyperlink ref="A20" r:id="rId58" location="issuecomment-1824354502" xr:uid="{00000000-0004-0000-0100-000039000000}"/>
    <hyperlink ref="C20" r:id="rId59" location="issuecomment-1523711377" xr:uid="{00000000-0004-0000-0100-00003A000000}"/>
    <hyperlink ref="G20" r:id="rId60" location="issuecomment-1523711377" xr:uid="{00000000-0004-0000-0100-00003B000000}"/>
    <hyperlink ref="A21" r:id="rId61" location="discussion_r1455741535" xr:uid="{00000000-0004-0000-0100-00003C000000}"/>
    <hyperlink ref="C21" r:id="rId62" location="issuecomment-1523829146" xr:uid="{00000000-0004-0000-0100-00003D000000}"/>
    <hyperlink ref="G21" r:id="rId63" location="issuecomment-1523829146" xr:uid="{00000000-0004-0000-0100-00003E000000}"/>
    <hyperlink ref="A22" r:id="rId64" location="discussion_r1608891107" xr:uid="{00000000-0004-0000-0100-00003F000000}"/>
    <hyperlink ref="C22" r:id="rId65" location="discussion_r1156498711" xr:uid="{00000000-0004-0000-0100-000040000000}"/>
    <hyperlink ref="G22" r:id="rId66" location="discussion_r1156498711" xr:uid="{00000000-0004-0000-0100-000041000000}"/>
    <hyperlink ref="A23" r:id="rId67" location="discussion_r1717040579" xr:uid="{00000000-0004-0000-0100-000042000000}"/>
    <hyperlink ref="C23" r:id="rId68" location="issuecomment-1576578560" xr:uid="{00000000-0004-0000-0100-000043000000}"/>
    <hyperlink ref="G23" r:id="rId69" location="issuecomment-1576578560" xr:uid="{00000000-0004-0000-0100-000044000000}"/>
    <hyperlink ref="A24" r:id="rId70" location="issuecomment-2329949783" xr:uid="{00000000-0004-0000-0100-000045000000}"/>
    <hyperlink ref="C24" r:id="rId71" location="issuecomment-1582606514" xr:uid="{00000000-0004-0000-0100-000046000000}"/>
    <hyperlink ref="G24" r:id="rId72" location="issuecomment-1582606514" xr:uid="{00000000-0004-0000-0100-000047000000}"/>
    <hyperlink ref="A25" r:id="rId73" location="issuecomment-2402654032" xr:uid="{00000000-0004-0000-0100-000048000000}"/>
    <hyperlink ref="C25" r:id="rId74" location="issuecomment-1582829867" xr:uid="{00000000-0004-0000-0100-000049000000}"/>
    <hyperlink ref="G25" r:id="rId75" location="issuecomment-1582829867" xr:uid="{00000000-0004-0000-0100-00004A000000}"/>
    <hyperlink ref="A26" r:id="rId76" location="discussion_r1841150927" xr:uid="{00000000-0004-0000-0100-00004B000000}"/>
    <hyperlink ref="C26" r:id="rId77" location="issuecomment-1590831197" xr:uid="{00000000-0004-0000-0100-00004C000000}"/>
    <hyperlink ref="G26" r:id="rId78" location="issuecomment-1590831197" xr:uid="{00000000-0004-0000-0100-00004D000000}"/>
    <hyperlink ref="A27" r:id="rId79" location="issuecomment-2569139239" xr:uid="{00000000-0004-0000-0100-00004E000000}"/>
    <hyperlink ref="C27" r:id="rId80" location="issuecomment-1582854272" xr:uid="{00000000-0004-0000-0100-00004F000000}"/>
    <hyperlink ref="G27" r:id="rId81" location="issuecomment-1582854272" xr:uid="{00000000-0004-0000-0100-000050000000}"/>
    <hyperlink ref="A28" r:id="rId82" location="discussion_r1083565846" xr:uid="{00000000-0004-0000-0100-000051000000}"/>
    <hyperlink ref="C28" r:id="rId83" location="discussion_r1235304399" xr:uid="{00000000-0004-0000-0100-000052000000}"/>
    <hyperlink ref="G28" r:id="rId84" location="discussion_r1235304399" xr:uid="{00000000-0004-0000-0100-000053000000}"/>
    <hyperlink ref="A29" r:id="rId85" location="discussion_r1083724374" xr:uid="{00000000-0004-0000-0100-000054000000}"/>
    <hyperlink ref="C29" r:id="rId86" location="discussion_r1235309846" xr:uid="{00000000-0004-0000-0100-000055000000}"/>
    <hyperlink ref="G29" r:id="rId87" location="discussion_r1235309846" xr:uid="{00000000-0004-0000-0100-000056000000}"/>
    <hyperlink ref="A30" r:id="rId88" location="discussion_r1074023214" xr:uid="{00000000-0004-0000-0100-000057000000}"/>
    <hyperlink ref="C30" r:id="rId89" location="issuecomment-1578506842" xr:uid="{00000000-0004-0000-0100-000058000000}"/>
    <hyperlink ref="G30" r:id="rId90" location="issuecomment-1578506842" xr:uid="{00000000-0004-0000-0100-000059000000}"/>
    <hyperlink ref="A31" r:id="rId91" location="issuecomment-1383873154" xr:uid="{00000000-0004-0000-0100-00005A000000}"/>
    <hyperlink ref="C31" r:id="rId92" location="issuecomment-1578517673" xr:uid="{00000000-0004-0000-0100-00005B000000}"/>
    <hyperlink ref="G31" r:id="rId93" location="issuecomment-1578517673" xr:uid="{00000000-0004-0000-0100-00005C000000}"/>
    <hyperlink ref="A32" r:id="rId94" location="issuecomment-1440357711" xr:uid="{00000000-0004-0000-0100-00005D000000}"/>
    <hyperlink ref="C32" r:id="rId95" location="discussion_r1263879886" xr:uid="{00000000-0004-0000-0100-00005E000000}"/>
    <hyperlink ref="G32" r:id="rId96" location="discussion_r1263879886" xr:uid="{00000000-0004-0000-0100-00005F000000}"/>
    <hyperlink ref="A33" r:id="rId97" location="issuecomment-1426807019" xr:uid="{00000000-0004-0000-0100-000060000000}"/>
    <hyperlink ref="C33" r:id="rId98" location="issuecomment-1597866592" xr:uid="{00000000-0004-0000-0100-000061000000}"/>
    <hyperlink ref="G33" r:id="rId99" location="issuecomment-1597866592" xr:uid="{00000000-0004-0000-0100-000062000000}"/>
    <hyperlink ref="A34" r:id="rId100" location="issuecomment-1422355751" xr:uid="{00000000-0004-0000-0100-000063000000}"/>
    <hyperlink ref="C34" r:id="rId101" location="issuecomment-1675592946" xr:uid="{00000000-0004-0000-0100-000064000000}"/>
    <hyperlink ref="G34" r:id="rId102" location="issuecomment-1675592946" xr:uid="{00000000-0004-0000-0100-000065000000}"/>
    <hyperlink ref="A35" r:id="rId103" location="issuecomment-1422375286" xr:uid="{00000000-0004-0000-0100-000066000000}"/>
    <hyperlink ref="C35" r:id="rId104" location="issuecomment-1624983316" xr:uid="{00000000-0004-0000-0100-000067000000}"/>
    <hyperlink ref="G35" r:id="rId105" location="issuecomment-1624983316" xr:uid="{00000000-0004-0000-0100-000068000000}"/>
    <hyperlink ref="A36" r:id="rId106" location="issuecomment-1422416345" xr:uid="{00000000-0004-0000-0100-000069000000}"/>
    <hyperlink ref="C36" r:id="rId107" location="issuecomment-1672650566" xr:uid="{00000000-0004-0000-0100-00006A000000}"/>
    <hyperlink ref="G36" r:id="rId108" location="issuecomment-1672650566" xr:uid="{00000000-0004-0000-0100-00006B000000}"/>
    <hyperlink ref="A37" r:id="rId109" location="discussion_r1146494323" xr:uid="{00000000-0004-0000-0100-00006C000000}"/>
    <hyperlink ref="C37" r:id="rId110" location="issuecomment-1689636196" xr:uid="{00000000-0004-0000-0100-00006D000000}"/>
    <hyperlink ref="G37" r:id="rId111" location="issuecomment-1689636196" xr:uid="{00000000-0004-0000-0100-00006E000000}"/>
    <hyperlink ref="A38" r:id="rId112" location="issuecomment-1481577294" xr:uid="{00000000-0004-0000-0100-00006F000000}"/>
    <hyperlink ref="C38" r:id="rId113" location="issuecomment-1672651113" xr:uid="{00000000-0004-0000-0100-000070000000}"/>
    <hyperlink ref="G38" r:id="rId114" location="issuecomment-1672651113" xr:uid="{00000000-0004-0000-0100-000071000000}"/>
    <hyperlink ref="A39" r:id="rId115" location="issuecomment-1486132202" xr:uid="{00000000-0004-0000-0100-000072000000}"/>
    <hyperlink ref="C39" r:id="rId116" location="issuecomment-1689209740" xr:uid="{00000000-0004-0000-0100-000073000000}"/>
    <hyperlink ref="G39" r:id="rId117" location="issuecomment-1689209740" xr:uid="{00000000-0004-0000-0100-000074000000}"/>
    <hyperlink ref="A40" r:id="rId118" location="issuecomment-1486151336" xr:uid="{00000000-0004-0000-0100-000075000000}"/>
    <hyperlink ref="C40" r:id="rId119" location="issuecomment-1690111304" xr:uid="{00000000-0004-0000-0100-000076000000}"/>
    <hyperlink ref="G40" r:id="rId120" location="issuecomment-1690111304" xr:uid="{00000000-0004-0000-0100-000077000000}"/>
    <hyperlink ref="A41" r:id="rId121" location="discussion_r1127264221" xr:uid="{00000000-0004-0000-0100-000078000000}"/>
    <hyperlink ref="C41" r:id="rId122" location="discussion_r1303995244" xr:uid="{00000000-0004-0000-0100-000079000000}"/>
    <hyperlink ref="G41" r:id="rId123" location="discussion_r1303995244" xr:uid="{00000000-0004-0000-0100-00007A000000}"/>
    <hyperlink ref="A42" r:id="rId124" location="issuecomment-1482782327" xr:uid="{00000000-0004-0000-0100-00007B000000}"/>
    <hyperlink ref="C42" r:id="rId125" location="issuecomment-1686618217" xr:uid="{00000000-0004-0000-0100-00007C000000}"/>
    <hyperlink ref="G42" r:id="rId126" location="issuecomment-1686618217" xr:uid="{00000000-0004-0000-0100-00007D000000}"/>
    <hyperlink ref="A43" r:id="rId127" location="issuecomment-1485049856" xr:uid="{00000000-0004-0000-0100-00007E000000}"/>
    <hyperlink ref="C43" r:id="rId128" location="issuecomment-1661736821" xr:uid="{00000000-0004-0000-0100-00007F000000}"/>
    <hyperlink ref="G43" r:id="rId129" location="issuecomment-1661736821" xr:uid="{00000000-0004-0000-0100-000080000000}"/>
    <hyperlink ref="A44" r:id="rId130" location="issuecomment-1468376389" xr:uid="{00000000-0004-0000-0100-000081000000}"/>
    <hyperlink ref="C44" r:id="rId131" location="issuecomment-1665498143" xr:uid="{00000000-0004-0000-0100-000082000000}"/>
    <hyperlink ref="G44" r:id="rId132" location="issuecomment-1665498143" xr:uid="{00000000-0004-0000-0100-000083000000}"/>
    <hyperlink ref="A45" r:id="rId133" location="discussion_r1155937820" xr:uid="{00000000-0004-0000-0100-000084000000}"/>
    <hyperlink ref="C45" r:id="rId134" location="issuecomment-1665506423" xr:uid="{00000000-0004-0000-0100-000085000000}"/>
    <hyperlink ref="G45" r:id="rId135" location="issuecomment-1665506423" xr:uid="{00000000-0004-0000-0100-000086000000}"/>
    <hyperlink ref="A46" r:id="rId136" location="issuecomment-1513081507" xr:uid="{00000000-0004-0000-0100-000087000000}"/>
    <hyperlink ref="C46" r:id="rId137" location="discussion_r1306204926" xr:uid="{00000000-0004-0000-0100-000088000000}"/>
    <hyperlink ref="G46" r:id="rId138" location="discussion_r1306204926" xr:uid="{00000000-0004-0000-0100-000089000000}"/>
    <hyperlink ref="A47" r:id="rId139" location="issuecomment-1523711377" xr:uid="{00000000-0004-0000-0100-00008A000000}"/>
    <hyperlink ref="C47" r:id="rId140" location="issuecomment-1697519138" xr:uid="{00000000-0004-0000-0100-00008B000000}"/>
    <hyperlink ref="G47" r:id="rId141" location="issuecomment-1697519138" xr:uid="{00000000-0004-0000-0100-00008C000000}"/>
    <hyperlink ref="A48" r:id="rId142" location="issuecomment-1523829146" xr:uid="{00000000-0004-0000-0100-00008D000000}"/>
    <hyperlink ref="C48" r:id="rId143" location="discussion_r1314789164" xr:uid="{00000000-0004-0000-0100-00008E000000}"/>
    <hyperlink ref="G48" r:id="rId144" location="discussion_r1314789164" xr:uid="{00000000-0004-0000-0100-00008F000000}"/>
    <hyperlink ref="A49" r:id="rId145" location="discussion_r1156498711" xr:uid="{00000000-0004-0000-0100-000090000000}"/>
    <hyperlink ref="C49" r:id="rId146" location="discussion_r1332517627" xr:uid="{00000000-0004-0000-0100-000091000000}"/>
    <hyperlink ref="G49" r:id="rId147" location="discussion_r1332517627" xr:uid="{00000000-0004-0000-0100-000092000000}"/>
    <hyperlink ref="A50" r:id="rId148" location="issuecomment-1576578560" xr:uid="{00000000-0004-0000-0100-000093000000}"/>
    <hyperlink ref="C50" r:id="rId149" location="discussion_r1336278028" xr:uid="{00000000-0004-0000-0100-000094000000}"/>
    <hyperlink ref="G50" r:id="rId150" location="discussion_r1336278028" xr:uid="{00000000-0004-0000-0100-000095000000}"/>
    <hyperlink ref="A51" r:id="rId151" location="issuecomment-1582606514" xr:uid="{00000000-0004-0000-0100-000096000000}"/>
    <hyperlink ref="C51" r:id="rId152" location="issuecomment-1780379051" xr:uid="{00000000-0004-0000-0100-000097000000}"/>
    <hyperlink ref="G51" r:id="rId153" location="issuecomment-1780379051" xr:uid="{00000000-0004-0000-0100-000098000000}"/>
    <hyperlink ref="A52" r:id="rId154" location="issuecomment-1582829867" xr:uid="{00000000-0004-0000-0100-000099000000}"/>
    <hyperlink ref="C52" r:id="rId155" location="issuecomment-1793344331" xr:uid="{00000000-0004-0000-0100-00009A000000}"/>
    <hyperlink ref="G52" r:id="rId156" location="issuecomment-1793344331" xr:uid="{00000000-0004-0000-0100-00009B000000}"/>
    <hyperlink ref="A53" r:id="rId157" location="issuecomment-1590831197" xr:uid="{00000000-0004-0000-0100-00009C000000}"/>
    <hyperlink ref="C53" r:id="rId158" location="issuecomment-1785720245" xr:uid="{00000000-0004-0000-0100-00009D000000}"/>
    <hyperlink ref="G53" r:id="rId159" location="issuecomment-1785720245" xr:uid="{00000000-0004-0000-0100-00009E000000}"/>
    <hyperlink ref="A54" r:id="rId160" location="issuecomment-1582854272" xr:uid="{00000000-0004-0000-0100-00009F000000}"/>
    <hyperlink ref="C54" r:id="rId161" location="issuecomment-1785791090" xr:uid="{00000000-0004-0000-0100-0000A0000000}"/>
    <hyperlink ref="G54" r:id="rId162" location="issuecomment-1785791090" xr:uid="{00000000-0004-0000-0100-0000A1000000}"/>
    <hyperlink ref="A55" r:id="rId163" location="discussion_r1235304399" xr:uid="{00000000-0004-0000-0100-0000A2000000}"/>
    <hyperlink ref="C55" r:id="rId164" location="issuecomment-1781507882" xr:uid="{00000000-0004-0000-0100-0000A3000000}"/>
    <hyperlink ref="G55" r:id="rId165" location="issuecomment-1781507882" xr:uid="{00000000-0004-0000-0100-0000A4000000}"/>
    <hyperlink ref="A56" r:id="rId166" location="discussion_r1235309846" xr:uid="{00000000-0004-0000-0100-0000A5000000}"/>
    <hyperlink ref="C56" r:id="rId167" location="discussion_r1365062177" xr:uid="{00000000-0004-0000-0100-0000A6000000}"/>
    <hyperlink ref="G56" r:id="rId168" location="discussion_r1365062177" xr:uid="{00000000-0004-0000-0100-0000A7000000}"/>
    <hyperlink ref="A57" r:id="rId169" location="issuecomment-1578506842" xr:uid="{00000000-0004-0000-0100-0000A8000000}"/>
    <hyperlink ref="C57" r:id="rId170" location="issuecomment-1752448257" xr:uid="{00000000-0004-0000-0100-0000A9000000}"/>
    <hyperlink ref="G57" r:id="rId171" location="issuecomment-1752448257" xr:uid="{00000000-0004-0000-0100-0000AA000000}"/>
    <hyperlink ref="A58" r:id="rId172" location="issuecomment-1578517673" xr:uid="{00000000-0004-0000-0100-0000AB000000}"/>
    <hyperlink ref="C58" r:id="rId173" location="issuecomment-1807527354" xr:uid="{00000000-0004-0000-0100-0000AC000000}"/>
    <hyperlink ref="G58" r:id="rId174" location="issuecomment-1807527354" xr:uid="{00000000-0004-0000-0100-0000AD000000}"/>
    <hyperlink ref="A59" r:id="rId175" location="discussion_r1263879886" xr:uid="{00000000-0004-0000-0100-0000AE000000}"/>
    <hyperlink ref="C59" r:id="rId176" location="issuecomment-1809757221" xr:uid="{00000000-0004-0000-0100-0000AF000000}"/>
    <hyperlink ref="G59" r:id="rId177" location="issuecomment-1809757221" xr:uid="{00000000-0004-0000-0100-0000B0000000}"/>
    <hyperlink ref="A60" r:id="rId178" location="issuecomment-1597866592" xr:uid="{00000000-0004-0000-0100-0000B1000000}"/>
    <hyperlink ref="C60" r:id="rId179" location="issuecomment-1801905875" xr:uid="{00000000-0004-0000-0100-0000B2000000}"/>
    <hyperlink ref="G60" r:id="rId180" location="issuecomment-1801905875" xr:uid="{00000000-0004-0000-0100-0000B3000000}"/>
    <hyperlink ref="A61" r:id="rId181" location="issuecomment-1675592946" xr:uid="{00000000-0004-0000-0100-0000B4000000}"/>
    <hyperlink ref="C61" r:id="rId182" location="issuecomment-1828368632" xr:uid="{00000000-0004-0000-0100-0000B5000000}"/>
    <hyperlink ref="G61" r:id="rId183" location="issuecomment-1828368632" xr:uid="{00000000-0004-0000-0100-0000B6000000}"/>
    <hyperlink ref="A62" r:id="rId184" location="issuecomment-1624983316" xr:uid="{00000000-0004-0000-0100-0000B7000000}"/>
    <hyperlink ref="C62" r:id="rId185" location="issuecomment-1793218502" xr:uid="{00000000-0004-0000-0100-0000B8000000}"/>
    <hyperlink ref="G62" r:id="rId186" location="issuecomment-1793218502" xr:uid="{00000000-0004-0000-0100-0000B9000000}"/>
    <hyperlink ref="A63" r:id="rId187" location="issuecomment-1672650566" xr:uid="{00000000-0004-0000-0100-0000BA000000}"/>
    <hyperlink ref="C63" r:id="rId188" location="discussion_r1412686754" xr:uid="{00000000-0004-0000-0100-0000BB000000}"/>
    <hyperlink ref="G63" r:id="rId189" location="discussion_r1412686754" xr:uid="{00000000-0004-0000-0100-0000BC000000}"/>
    <hyperlink ref="A64" r:id="rId190" location="issuecomment-1689636196" xr:uid="{00000000-0004-0000-0100-0000BD000000}"/>
    <hyperlink ref="C64" r:id="rId191" location="discussion_r1414961306" xr:uid="{00000000-0004-0000-0100-0000BE000000}"/>
    <hyperlink ref="G64" r:id="rId192" location="discussion_r1414961306" xr:uid="{00000000-0004-0000-0100-0000BF000000}"/>
    <hyperlink ref="A65" r:id="rId193" location="issuecomment-1672651113" xr:uid="{00000000-0004-0000-0100-0000C0000000}"/>
    <hyperlink ref="C65" r:id="rId194" location="discussion_r1417022793" xr:uid="{00000000-0004-0000-0100-0000C1000000}"/>
    <hyperlink ref="G65" r:id="rId195" location="discussion_r1417022793" xr:uid="{00000000-0004-0000-0100-0000C2000000}"/>
    <hyperlink ref="A66" r:id="rId196" location="issuecomment-1689209740" xr:uid="{00000000-0004-0000-0100-0000C3000000}"/>
    <hyperlink ref="C66" r:id="rId197" location="issuecomment-1948839059" xr:uid="{00000000-0004-0000-0100-0000C4000000}"/>
    <hyperlink ref="G66" r:id="rId198" location="issuecomment-1948839059" xr:uid="{00000000-0004-0000-0100-0000C5000000}"/>
    <hyperlink ref="A67" r:id="rId199" location="issuecomment-1690111304" xr:uid="{00000000-0004-0000-0100-0000C6000000}"/>
    <hyperlink ref="C67" r:id="rId200" location="issuecomment-1910187080" xr:uid="{00000000-0004-0000-0100-0000C7000000}"/>
    <hyperlink ref="G67" r:id="rId201" location="issuecomment-1910187080" xr:uid="{00000000-0004-0000-0100-0000C8000000}"/>
    <hyperlink ref="A68" r:id="rId202" location="discussion_r1303995244" xr:uid="{00000000-0004-0000-0100-0000C9000000}"/>
    <hyperlink ref="C68" r:id="rId203" location="issuecomment-1910451341" xr:uid="{00000000-0004-0000-0100-0000CA000000}"/>
    <hyperlink ref="G68" r:id="rId204" location="issuecomment-1910451341" xr:uid="{00000000-0004-0000-0100-0000CB000000}"/>
    <hyperlink ref="A69" r:id="rId205" location="issuecomment-1686618217" xr:uid="{00000000-0004-0000-0100-0000CC000000}"/>
    <hyperlink ref="C69" r:id="rId206" location="issuecomment-1900904418" xr:uid="{00000000-0004-0000-0100-0000CD000000}"/>
    <hyperlink ref="G69" r:id="rId207" location="issuecomment-1900904418" xr:uid="{00000000-0004-0000-0100-0000CE000000}"/>
    <hyperlink ref="A70" r:id="rId208" location="issuecomment-1661736821" xr:uid="{00000000-0004-0000-0100-0000CF000000}"/>
    <hyperlink ref="C70" r:id="rId209" location="issuecomment-1901148987" xr:uid="{00000000-0004-0000-0100-0000D0000000}"/>
    <hyperlink ref="G70" r:id="rId210" location="issuecomment-1901148987" xr:uid="{00000000-0004-0000-0100-0000D1000000}"/>
    <hyperlink ref="A71" r:id="rId211" location="issuecomment-1665498143" xr:uid="{00000000-0004-0000-0100-0000D2000000}"/>
    <hyperlink ref="C71" r:id="rId212" location="issuecomment-1901569192" xr:uid="{00000000-0004-0000-0100-0000D3000000}"/>
    <hyperlink ref="G71" r:id="rId213" location="issuecomment-1901569192" xr:uid="{00000000-0004-0000-0100-0000D4000000}"/>
    <hyperlink ref="A72" r:id="rId214" location="issuecomment-1665506423" xr:uid="{00000000-0004-0000-0100-0000D5000000}"/>
    <hyperlink ref="C72" r:id="rId215" location="issuecomment-1902645890" xr:uid="{00000000-0004-0000-0100-0000D6000000}"/>
    <hyperlink ref="G72" r:id="rId216" location="issuecomment-1902645890" xr:uid="{00000000-0004-0000-0100-0000D7000000}"/>
    <hyperlink ref="A73" r:id="rId217" location="discussion_r1306204926" xr:uid="{00000000-0004-0000-0100-0000D8000000}"/>
    <hyperlink ref="C73" r:id="rId218" location="issuecomment-1899349398" xr:uid="{00000000-0004-0000-0100-0000D9000000}"/>
    <hyperlink ref="G73" r:id="rId219" location="issuecomment-1899349398" xr:uid="{00000000-0004-0000-0100-0000DA000000}"/>
    <hyperlink ref="A74" r:id="rId220" location="issuecomment-1697519138" xr:uid="{00000000-0004-0000-0100-0000DB000000}"/>
    <hyperlink ref="C74" r:id="rId221" location="issuecomment-1886360767" xr:uid="{00000000-0004-0000-0100-0000DC000000}"/>
    <hyperlink ref="G74" r:id="rId222" location="issuecomment-1886360767" xr:uid="{00000000-0004-0000-0100-0000DD000000}"/>
    <hyperlink ref="A75" r:id="rId223" location="discussion_r1314789164" xr:uid="{00000000-0004-0000-0100-0000DE000000}"/>
    <hyperlink ref="C75" r:id="rId224" location="issuecomment-1887960719" xr:uid="{00000000-0004-0000-0100-0000DF000000}"/>
    <hyperlink ref="G75" r:id="rId225" location="issuecomment-1887960719" xr:uid="{00000000-0004-0000-0100-0000E0000000}"/>
    <hyperlink ref="A76" r:id="rId226" location="discussion_r1332517627" xr:uid="{00000000-0004-0000-0100-0000E1000000}"/>
    <hyperlink ref="C76" r:id="rId227" location="discussion_r1450221819" xr:uid="{00000000-0004-0000-0100-0000E2000000}"/>
    <hyperlink ref="G76" r:id="rId228" location="discussion_r1450221819" xr:uid="{00000000-0004-0000-0100-0000E3000000}"/>
    <hyperlink ref="A77" r:id="rId229" location="discussion_r1336278028" xr:uid="{00000000-0004-0000-0100-0000E4000000}"/>
    <hyperlink ref="C77" r:id="rId230" location="issuecomment-1885822780" xr:uid="{00000000-0004-0000-0100-0000E5000000}"/>
    <hyperlink ref="G77" r:id="rId231" location="issuecomment-1885822780" xr:uid="{00000000-0004-0000-0100-0000E6000000}"/>
    <hyperlink ref="A78" r:id="rId232" location="issuecomment-1780379051" xr:uid="{00000000-0004-0000-0100-0000E7000000}"/>
    <hyperlink ref="C78" r:id="rId233" location="discussion_r1443379463" xr:uid="{00000000-0004-0000-0100-0000E8000000}"/>
    <hyperlink ref="G78" r:id="rId234" location="discussion_r1443379463" xr:uid="{00000000-0004-0000-0100-0000E9000000}"/>
    <hyperlink ref="A79" r:id="rId235" location="issuecomment-1793344331" xr:uid="{00000000-0004-0000-0100-0000EA000000}"/>
    <hyperlink ref="C79" r:id="rId236" location="discussion_r1473516211" xr:uid="{00000000-0004-0000-0100-0000EB000000}"/>
    <hyperlink ref="G79" r:id="rId237" location="discussion_r1473516211" xr:uid="{00000000-0004-0000-0100-0000EC000000}"/>
    <hyperlink ref="A80" r:id="rId238" location="issuecomment-1785720245" xr:uid="{00000000-0004-0000-0100-0000ED000000}"/>
    <hyperlink ref="C80" r:id="rId239" location="issuecomment-1959829217" xr:uid="{00000000-0004-0000-0100-0000EE000000}"/>
    <hyperlink ref="G80" r:id="rId240" location="issuecomment-1959829217" xr:uid="{00000000-0004-0000-0100-0000EF000000}"/>
    <hyperlink ref="A81" r:id="rId241" location="issuecomment-1785791090" xr:uid="{00000000-0004-0000-0100-0000F0000000}"/>
    <hyperlink ref="C81" r:id="rId242" location="discussion_r1501899861" xr:uid="{00000000-0004-0000-0100-0000F1000000}"/>
    <hyperlink ref="G81" r:id="rId243" location="discussion_r1501899861" xr:uid="{00000000-0004-0000-0100-0000F2000000}"/>
    <hyperlink ref="A82" r:id="rId244" location="issuecomment-1781507882" xr:uid="{00000000-0004-0000-0100-0000F3000000}"/>
    <hyperlink ref="C82" r:id="rId245" location="discussion_r1517923030" xr:uid="{00000000-0004-0000-0100-0000F4000000}"/>
    <hyperlink ref="G82" r:id="rId246" location="discussion_r1517923030" xr:uid="{00000000-0004-0000-0100-0000F5000000}"/>
    <hyperlink ref="A83" r:id="rId247" location="discussion_r1365062177" xr:uid="{00000000-0004-0000-0100-0000F6000000}"/>
    <hyperlink ref="C83" r:id="rId248" location="issuecomment-1955720555" xr:uid="{00000000-0004-0000-0100-0000F7000000}"/>
    <hyperlink ref="G83" r:id="rId249" location="issuecomment-1955720555" xr:uid="{00000000-0004-0000-0100-0000F8000000}"/>
    <hyperlink ref="A84" r:id="rId250" location="issuecomment-1752448257" xr:uid="{00000000-0004-0000-0100-0000F9000000}"/>
    <hyperlink ref="C84" r:id="rId251" location="discussion_r1487082121" xr:uid="{00000000-0004-0000-0100-0000FA000000}"/>
    <hyperlink ref="G84" r:id="rId252" location="discussion_r1487082121" xr:uid="{00000000-0004-0000-0100-0000FB000000}"/>
    <hyperlink ref="A85" r:id="rId253" location="issuecomment-1807527354" xr:uid="{00000000-0004-0000-0100-0000FC000000}"/>
    <hyperlink ref="C85" r:id="rId254" location="discussion_r1507440482" xr:uid="{00000000-0004-0000-0100-0000FD000000}"/>
    <hyperlink ref="G85" r:id="rId255" location="discussion_r1507440482" xr:uid="{00000000-0004-0000-0100-0000FE000000}"/>
    <hyperlink ref="A86" r:id="rId256" location="issuecomment-1809757221" xr:uid="{00000000-0004-0000-0100-0000FF000000}"/>
    <hyperlink ref="C86" r:id="rId257" location="issuecomment-2025318864" xr:uid="{00000000-0004-0000-0100-000000010000}"/>
    <hyperlink ref="G86" r:id="rId258" location="issuecomment-2025318864" xr:uid="{00000000-0004-0000-0100-000001010000}"/>
    <hyperlink ref="A87" r:id="rId259" location="issuecomment-1801905875" xr:uid="{00000000-0004-0000-0100-000002010000}"/>
    <hyperlink ref="C87" r:id="rId260" location="issuecomment-2024845557" xr:uid="{00000000-0004-0000-0100-000003010000}"/>
    <hyperlink ref="G87" r:id="rId261" location="issuecomment-2024845557" xr:uid="{00000000-0004-0000-0100-000004010000}"/>
    <hyperlink ref="A88" r:id="rId262" location="issuecomment-1828368632" xr:uid="{00000000-0004-0000-0100-000005010000}"/>
    <hyperlink ref="C88" r:id="rId263" location="issuecomment-2014162418" xr:uid="{00000000-0004-0000-0100-000006010000}"/>
    <hyperlink ref="G88" r:id="rId264" location="issuecomment-2014162418" xr:uid="{00000000-0004-0000-0100-000007010000}"/>
    <hyperlink ref="A89" r:id="rId265" location="issuecomment-1793218502" xr:uid="{00000000-0004-0000-0100-000008010000}"/>
    <hyperlink ref="C89" r:id="rId266" location="issuecomment-1980864682" xr:uid="{00000000-0004-0000-0100-000009010000}"/>
    <hyperlink ref="G89" r:id="rId267" location="issuecomment-1980864682" xr:uid="{00000000-0004-0000-0100-00000A010000}"/>
    <hyperlink ref="A90" r:id="rId268" location="discussion_r1412686754" xr:uid="{00000000-0004-0000-0100-00000B010000}"/>
    <hyperlink ref="C90" r:id="rId269" location="issuecomment-1999698330" xr:uid="{00000000-0004-0000-0100-00000C010000}"/>
    <hyperlink ref="G90" r:id="rId270" location="issuecomment-1999698330" xr:uid="{00000000-0004-0000-0100-00000D010000}"/>
    <hyperlink ref="A91" r:id="rId271" location="discussion_r1414961306" xr:uid="{00000000-0004-0000-0100-00000E010000}"/>
    <hyperlink ref="C91" r:id="rId272" location="issuecomment-2034063870" xr:uid="{00000000-0004-0000-0100-00000F010000}"/>
    <hyperlink ref="G91" r:id="rId273" location="issuecomment-2034063870" xr:uid="{00000000-0004-0000-0100-000010010000}"/>
    <hyperlink ref="A92" r:id="rId274" location="discussion_r1417022793" xr:uid="{00000000-0004-0000-0100-000011010000}"/>
    <hyperlink ref="C92" r:id="rId275" location="discussion_r1530909058" xr:uid="{00000000-0004-0000-0100-000012010000}"/>
    <hyperlink ref="G92" r:id="rId276" location="discussion_r1530909058" xr:uid="{00000000-0004-0000-0100-000013010000}"/>
    <hyperlink ref="A93" r:id="rId277" location="issuecomment-1948839059" xr:uid="{00000000-0004-0000-0100-000014010000}"/>
    <hyperlink ref="C93" r:id="rId278" location="issuecomment-1999943078" xr:uid="{00000000-0004-0000-0100-000015010000}"/>
    <hyperlink ref="G93" r:id="rId279" location="issuecomment-1999943078" xr:uid="{00000000-0004-0000-0100-000016010000}"/>
    <hyperlink ref="A94" r:id="rId280" location="issuecomment-1910187080" xr:uid="{00000000-0004-0000-0100-000017010000}"/>
    <hyperlink ref="C94" r:id="rId281" location="issuecomment-2017657371" xr:uid="{00000000-0004-0000-0100-000018010000}"/>
    <hyperlink ref="G94" r:id="rId282" location="issuecomment-2017657371" xr:uid="{00000000-0004-0000-0100-000019010000}"/>
    <hyperlink ref="A95" r:id="rId283" location="issuecomment-1910451341" xr:uid="{00000000-0004-0000-0100-00001A010000}"/>
    <hyperlink ref="C95" r:id="rId284" location="issuecomment-2061398319" xr:uid="{00000000-0004-0000-0100-00001B010000}"/>
    <hyperlink ref="G95" r:id="rId285" location="issuecomment-2061398319" xr:uid="{00000000-0004-0000-0100-00001C010000}"/>
    <hyperlink ref="A96" r:id="rId286" location="issuecomment-1900904418" xr:uid="{00000000-0004-0000-0100-00001D010000}"/>
    <hyperlink ref="C96" r:id="rId287" location="issuecomment-2035787922" xr:uid="{00000000-0004-0000-0100-00001E010000}"/>
    <hyperlink ref="G96" r:id="rId288" location="issuecomment-2035787922" xr:uid="{00000000-0004-0000-0100-00001F010000}"/>
    <hyperlink ref="A97" r:id="rId289" location="issuecomment-1901148987" xr:uid="{00000000-0004-0000-0100-000020010000}"/>
    <hyperlink ref="C97" r:id="rId290" location="issuecomment-2045255946" xr:uid="{00000000-0004-0000-0100-000021010000}"/>
    <hyperlink ref="G97" r:id="rId291" location="issuecomment-2045255946" xr:uid="{00000000-0004-0000-0100-000022010000}"/>
    <hyperlink ref="A98" r:id="rId292" location="issuecomment-1901569192" xr:uid="{00000000-0004-0000-0100-000023010000}"/>
    <hyperlink ref="C98" r:id="rId293" location="issuecomment-2072113477" xr:uid="{00000000-0004-0000-0100-000024010000}"/>
    <hyperlink ref="G98" r:id="rId294" location="issuecomment-2072113477" xr:uid="{00000000-0004-0000-0100-000025010000}"/>
    <hyperlink ref="A99" r:id="rId295" location="issuecomment-1902645890" xr:uid="{00000000-0004-0000-0100-000026010000}"/>
    <hyperlink ref="C99" r:id="rId296" location="issuecomment-2063787042" xr:uid="{00000000-0004-0000-0100-000027010000}"/>
    <hyperlink ref="G99" r:id="rId297" location="issuecomment-2063787042" xr:uid="{00000000-0004-0000-0100-000028010000}"/>
    <hyperlink ref="A100" r:id="rId298" location="issuecomment-1899349398" xr:uid="{00000000-0004-0000-0100-000029010000}"/>
    <hyperlink ref="C100" r:id="rId299" location="issuecomment-2071595653" xr:uid="{00000000-0004-0000-0100-00002A010000}"/>
    <hyperlink ref="G100" r:id="rId300" location="issuecomment-2071595653" xr:uid="{00000000-0004-0000-0100-00002B010000}"/>
    <hyperlink ref="A101" r:id="rId301" location="issuecomment-1886360767" xr:uid="{00000000-0004-0000-0100-00002C010000}"/>
    <hyperlink ref="C101" r:id="rId302" location="discussion_r1587350621" xr:uid="{00000000-0004-0000-0100-00002D010000}"/>
    <hyperlink ref="G101" r:id="rId303" location="discussion_r1587350621" xr:uid="{00000000-0004-0000-0100-00002E010000}"/>
    <hyperlink ref="A102" r:id="rId304" location="issuecomment-1887960719" xr:uid="{00000000-0004-0000-0100-00002F010000}"/>
    <hyperlink ref="C102" r:id="rId305" location="issuecomment-2155886151" xr:uid="{00000000-0004-0000-0100-000030010000}"/>
    <hyperlink ref="G102" r:id="rId306" location="issuecomment-2155886151" xr:uid="{00000000-0004-0000-0100-000031010000}"/>
    <hyperlink ref="A103" r:id="rId307" location="discussion_r1450221819" xr:uid="{00000000-0004-0000-0100-000032010000}"/>
    <hyperlink ref="C103" r:id="rId308" location="issuecomment-2117027142" xr:uid="{00000000-0004-0000-0100-000033010000}"/>
    <hyperlink ref="G103" r:id="rId309" location="issuecomment-2117027142" xr:uid="{00000000-0004-0000-0100-000034010000}"/>
    <hyperlink ref="A104" r:id="rId310" location="issuecomment-1885822780" xr:uid="{00000000-0004-0000-0100-000035010000}"/>
    <hyperlink ref="C104" r:id="rId311" location="issuecomment-2117397544" xr:uid="{00000000-0004-0000-0100-000036010000}"/>
    <hyperlink ref="G104" r:id="rId312" location="issuecomment-2117397544" xr:uid="{00000000-0004-0000-0100-000037010000}"/>
    <hyperlink ref="A105" r:id="rId313" location="discussion_r1443379463" xr:uid="{00000000-0004-0000-0100-000038010000}"/>
    <hyperlink ref="C105" r:id="rId314" location="issuecomment-2153175265" xr:uid="{00000000-0004-0000-0100-000039010000}"/>
    <hyperlink ref="G105" r:id="rId315" location="issuecomment-2153175265" xr:uid="{00000000-0004-0000-0100-00003A010000}"/>
    <hyperlink ref="A106" r:id="rId316" location="discussion_r1473516211" xr:uid="{00000000-0004-0000-0100-00003B010000}"/>
    <hyperlink ref="C106" r:id="rId317" location="issuecomment-2156025254" xr:uid="{00000000-0004-0000-0100-00003C010000}"/>
    <hyperlink ref="G106" r:id="rId318" location="issuecomment-2156025254" xr:uid="{00000000-0004-0000-0100-00003D010000}"/>
    <hyperlink ref="A107" r:id="rId319" location="issuecomment-1959829217" xr:uid="{00000000-0004-0000-0100-00003E010000}"/>
    <hyperlink ref="C107" r:id="rId320" location="discussion_r1608892185" xr:uid="{00000000-0004-0000-0100-00003F010000}"/>
    <hyperlink ref="G107" r:id="rId321" location="discussion_r1608892185" xr:uid="{00000000-0004-0000-0100-000040010000}"/>
    <hyperlink ref="A108" r:id="rId322" location="discussion_r1501899861" xr:uid="{00000000-0004-0000-0100-000041010000}"/>
    <hyperlink ref="C108" r:id="rId323" location="issuecomment-2088165855" xr:uid="{00000000-0004-0000-0100-000042010000}"/>
    <hyperlink ref="G108" r:id="rId324" location="issuecomment-2088165855" xr:uid="{00000000-0004-0000-0100-000043010000}"/>
    <hyperlink ref="A109" r:id="rId325" location="discussion_r1517923030" xr:uid="{00000000-0004-0000-0100-000044010000}"/>
    <hyperlink ref="C109" r:id="rId326" location="issuecomment-2200855111" xr:uid="{00000000-0004-0000-0100-000045010000}"/>
    <hyperlink ref="G109" r:id="rId327" location="issuecomment-2200855111" xr:uid="{00000000-0004-0000-0100-000046010000}"/>
    <hyperlink ref="A110" r:id="rId328" location="issuecomment-1955720555" xr:uid="{00000000-0004-0000-0100-000047010000}"/>
    <hyperlink ref="C110" r:id="rId329" location="discussion_r1633407705" xr:uid="{00000000-0004-0000-0100-000048010000}"/>
    <hyperlink ref="G110" r:id="rId330" location="discussion_r1633407705" xr:uid="{00000000-0004-0000-0100-000049010000}"/>
    <hyperlink ref="A111" r:id="rId331" location="discussion_r1487082121" xr:uid="{00000000-0004-0000-0100-00004A010000}"/>
    <hyperlink ref="C111" r:id="rId332" location="discussion_r1636377158" xr:uid="{00000000-0004-0000-0100-00004B010000}"/>
    <hyperlink ref="G111" r:id="rId333" location="discussion_r1636377158" xr:uid="{00000000-0004-0000-0100-00004C010000}"/>
    <hyperlink ref="A112" r:id="rId334" location="discussion_r1507440482" xr:uid="{00000000-0004-0000-0100-00004D010000}"/>
    <hyperlink ref="C112" r:id="rId335" location="discussion_r1664512005" xr:uid="{00000000-0004-0000-0100-00004E010000}"/>
    <hyperlink ref="G112" r:id="rId336" location="discussion_r1664512005" xr:uid="{00000000-0004-0000-0100-00004F010000}"/>
    <hyperlink ref="A113" r:id="rId337" location="issuecomment-2025318864" xr:uid="{00000000-0004-0000-0100-000050010000}"/>
    <hyperlink ref="C113" r:id="rId338" location="issuecomment-2173528937" xr:uid="{00000000-0004-0000-0100-000051010000}"/>
    <hyperlink ref="G113" r:id="rId339" location="issuecomment-2173528937" xr:uid="{00000000-0004-0000-0100-000052010000}"/>
    <hyperlink ref="A114" r:id="rId340" location="issuecomment-2024845557" xr:uid="{00000000-0004-0000-0100-000053010000}"/>
    <hyperlink ref="C114" r:id="rId341" location="discussion_r1644509089" xr:uid="{00000000-0004-0000-0100-000054010000}"/>
    <hyperlink ref="G114" r:id="rId342" location="discussion_r1644509089" xr:uid="{00000000-0004-0000-0100-000055010000}"/>
    <hyperlink ref="A115" r:id="rId343" location="issuecomment-2014162418" xr:uid="{00000000-0004-0000-0100-000056010000}"/>
    <hyperlink ref="C115" r:id="rId344" location="issuecomment-2260800234" xr:uid="{00000000-0004-0000-0100-000057010000}"/>
    <hyperlink ref="G115" r:id="rId345" location="issuecomment-2260800234" xr:uid="{00000000-0004-0000-0100-000058010000}"/>
    <hyperlink ref="A116" r:id="rId346" location="issuecomment-1980864682" xr:uid="{00000000-0004-0000-0100-000059010000}"/>
    <hyperlink ref="C116" r:id="rId347" location="issuecomment-2264155036" xr:uid="{00000000-0004-0000-0100-00005A010000}"/>
    <hyperlink ref="G116" r:id="rId348" location="issuecomment-2264155036" xr:uid="{00000000-0004-0000-0100-00005B010000}"/>
    <hyperlink ref="A117" r:id="rId349" location="issuecomment-1999698330" xr:uid="{00000000-0004-0000-0100-00005C010000}"/>
    <hyperlink ref="C117" r:id="rId350" location="issuecomment-2243019123" xr:uid="{00000000-0004-0000-0100-00005D010000}"/>
    <hyperlink ref="G117" r:id="rId351" location="issuecomment-2243019123" xr:uid="{00000000-0004-0000-0100-00005E010000}"/>
    <hyperlink ref="A118" r:id="rId352" location="issuecomment-2034063870" xr:uid="{00000000-0004-0000-0100-00005F010000}"/>
    <hyperlink ref="C118" r:id="rId353" location="issuecomment-2240820847" xr:uid="{00000000-0004-0000-0100-000060010000}"/>
    <hyperlink ref="G118" r:id="rId354" location="issuecomment-2240820847" xr:uid="{00000000-0004-0000-0100-000061010000}"/>
    <hyperlink ref="A119" r:id="rId355" location="discussion_r1530909058" xr:uid="{00000000-0004-0000-0100-000062010000}"/>
    <hyperlink ref="C119" r:id="rId356" location="discussion_r1700879609" xr:uid="{00000000-0004-0000-0100-000063010000}"/>
    <hyperlink ref="G119" r:id="rId357" location="discussion_r1700879609" xr:uid="{00000000-0004-0000-0100-000064010000}"/>
    <hyperlink ref="A120" r:id="rId358" location="issuecomment-1999943078" xr:uid="{00000000-0004-0000-0100-000065010000}"/>
    <hyperlink ref="C120" r:id="rId359" location="discussion_r1722395207" xr:uid="{00000000-0004-0000-0100-000066010000}"/>
    <hyperlink ref="G120" r:id="rId360" location="discussion_r1722395207" xr:uid="{00000000-0004-0000-0100-000067010000}"/>
    <hyperlink ref="A121" r:id="rId361" location="issuecomment-2017657371" xr:uid="{00000000-0004-0000-0100-000068010000}"/>
    <hyperlink ref="C121" r:id="rId362" location="issuecomment-2223578650" xr:uid="{00000000-0004-0000-0100-000069010000}"/>
    <hyperlink ref="G121" r:id="rId363" location="issuecomment-2223578650" xr:uid="{00000000-0004-0000-0100-00006A010000}"/>
    <hyperlink ref="A122" r:id="rId364" location="issuecomment-2061398319" xr:uid="{00000000-0004-0000-0100-00006B010000}"/>
    <hyperlink ref="C122" r:id="rId365" location="issuecomment-2351227427" xr:uid="{00000000-0004-0000-0100-00006C010000}"/>
    <hyperlink ref="G122" r:id="rId366" location="issuecomment-2351227427" xr:uid="{00000000-0004-0000-0100-00006D010000}"/>
    <hyperlink ref="A123" r:id="rId367" location="issuecomment-2035787922" xr:uid="{00000000-0004-0000-0100-00006E010000}"/>
    <hyperlink ref="C123" r:id="rId368" location="discussion_r1739214016" xr:uid="{00000000-0004-0000-0100-00006F010000}"/>
    <hyperlink ref="G123" r:id="rId369" location="discussion_r1739214016" xr:uid="{00000000-0004-0000-0100-000070010000}"/>
    <hyperlink ref="A124" r:id="rId370" location="issuecomment-2045255946" xr:uid="{00000000-0004-0000-0100-000071010000}"/>
    <hyperlink ref="C124" r:id="rId371" location="issuecomment-2298195864" xr:uid="{00000000-0004-0000-0100-000072010000}"/>
    <hyperlink ref="G124" r:id="rId372" location="issuecomment-2298195864" xr:uid="{00000000-0004-0000-0100-000073010000}"/>
    <hyperlink ref="A125" r:id="rId373" location="issuecomment-2072113477" xr:uid="{00000000-0004-0000-0100-000074010000}"/>
    <hyperlink ref="C125" r:id="rId374" location="issuecomment-2289243857" xr:uid="{00000000-0004-0000-0100-000075010000}"/>
    <hyperlink ref="G125" r:id="rId375" location="issuecomment-2289243857" xr:uid="{00000000-0004-0000-0100-000076010000}"/>
    <hyperlink ref="A126" r:id="rId376" location="issuecomment-2063787042" xr:uid="{00000000-0004-0000-0100-000077010000}"/>
    <hyperlink ref="C126" r:id="rId377" location="discussion_r1703897845" xr:uid="{00000000-0004-0000-0100-000078010000}"/>
    <hyperlink ref="G126" r:id="rId378" location="discussion_r1703897845" xr:uid="{00000000-0004-0000-0100-000079010000}"/>
    <hyperlink ref="A127" r:id="rId379" location="issuecomment-2071595653" xr:uid="{00000000-0004-0000-0100-00007A010000}"/>
    <hyperlink ref="C127" r:id="rId380" location="discussion_r1796528450" xr:uid="{00000000-0004-0000-0100-00007B010000}"/>
    <hyperlink ref="G127" r:id="rId381" location="discussion_r1796528450" xr:uid="{00000000-0004-0000-0100-00007C010000}"/>
    <hyperlink ref="A128" r:id="rId382" location="discussion_r1587350621" xr:uid="{00000000-0004-0000-0100-00007D010000}"/>
    <hyperlink ref="C128" r:id="rId383" location="issuecomment-2318997943" xr:uid="{00000000-0004-0000-0100-00007E010000}"/>
    <hyperlink ref="G128" r:id="rId384" location="issuecomment-2318997943" xr:uid="{00000000-0004-0000-0100-00007F010000}"/>
    <hyperlink ref="A129" r:id="rId385" location="issuecomment-2155886151" xr:uid="{00000000-0004-0000-0100-000080010000}"/>
    <hyperlink ref="C129" r:id="rId386" location="issuecomment-2296393650" xr:uid="{00000000-0004-0000-0100-000081010000}"/>
    <hyperlink ref="G129" r:id="rId387" location="issuecomment-2296393650" xr:uid="{00000000-0004-0000-0100-000082010000}"/>
    <hyperlink ref="A130" r:id="rId388" location="issuecomment-2117027142" xr:uid="{00000000-0004-0000-0100-000083010000}"/>
    <hyperlink ref="C130" r:id="rId389" location="discussion_r1735211623" xr:uid="{00000000-0004-0000-0100-000084010000}"/>
    <hyperlink ref="G130" r:id="rId390" location="discussion_r1735211623" xr:uid="{00000000-0004-0000-0100-000085010000}"/>
    <hyperlink ref="A131" r:id="rId391" location="issuecomment-2117397544" xr:uid="{00000000-0004-0000-0100-000086010000}"/>
    <hyperlink ref="C131" r:id="rId392" location="issuecomment-2269215873" xr:uid="{00000000-0004-0000-0100-000087010000}"/>
    <hyperlink ref="G131" r:id="rId393" location="issuecomment-2269215873" xr:uid="{00000000-0004-0000-0100-000088010000}"/>
    <hyperlink ref="A132" r:id="rId394" location="issuecomment-2153175265" xr:uid="{00000000-0004-0000-0100-000089010000}"/>
    <hyperlink ref="C132" r:id="rId395" location="issuecomment-2379969401" xr:uid="{00000000-0004-0000-0100-00008A010000}"/>
    <hyperlink ref="G132" r:id="rId396" location="issuecomment-2379969401" xr:uid="{00000000-0004-0000-0100-00008B010000}"/>
    <hyperlink ref="A133" r:id="rId397" location="issuecomment-2156025254" xr:uid="{00000000-0004-0000-0100-00008C010000}"/>
    <hyperlink ref="C133" r:id="rId398" location="issuecomment-2380293932" xr:uid="{00000000-0004-0000-0100-00008D010000}"/>
    <hyperlink ref="G133" r:id="rId399" location="issuecomment-2380293932" xr:uid="{00000000-0004-0000-0100-00008E010000}"/>
    <hyperlink ref="A134" r:id="rId400" location="discussion_r1608892185" xr:uid="{00000000-0004-0000-0100-00008F010000}"/>
    <hyperlink ref="C134" r:id="rId401" location="issuecomment-2359660979" xr:uid="{00000000-0004-0000-0100-000090010000}"/>
    <hyperlink ref="G134" r:id="rId402" location="issuecomment-2359660979" xr:uid="{00000000-0004-0000-0100-000091010000}"/>
    <hyperlink ref="A135" r:id="rId403" location="issuecomment-2088165855" xr:uid="{00000000-0004-0000-0100-000092010000}"/>
    <hyperlink ref="C135" r:id="rId404" location="issuecomment-2377384077" xr:uid="{00000000-0004-0000-0100-000093010000}"/>
    <hyperlink ref="G135" r:id="rId405" location="issuecomment-2377384077" xr:uid="{00000000-0004-0000-0100-000094010000}"/>
    <hyperlink ref="A136" r:id="rId406" location="issuecomment-2200855111" xr:uid="{00000000-0004-0000-0100-000095010000}"/>
    <hyperlink ref="C136" r:id="rId407" location="issuecomment-2333447134" xr:uid="{00000000-0004-0000-0100-000096010000}"/>
    <hyperlink ref="G136" r:id="rId408" location="issuecomment-2333447134" xr:uid="{00000000-0004-0000-0100-000097010000}"/>
    <hyperlink ref="A137" r:id="rId409" location="discussion_r1633407705" xr:uid="{00000000-0004-0000-0100-000098010000}"/>
    <hyperlink ref="C137" r:id="rId410" location="issuecomment-2341588367" xr:uid="{00000000-0004-0000-0100-000099010000}"/>
    <hyperlink ref="G137" r:id="rId411" location="issuecomment-2341588367" xr:uid="{00000000-0004-0000-0100-00009A010000}"/>
    <hyperlink ref="A138" r:id="rId412" location="discussion_r1636377158" xr:uid="{00000000-0004-0000-0100-00009B010000}"/>
    <hyperlink ref="C138" r:id="rId413" location="issuecomment-2362192856" xr:uid="{00000000-0004-0000-0100-00009C010000}"/>
    <hyperlink ref="G138" r:id="rId414" location="issuecomment-2362192856" xr:uid="{00000000-0004-0000-0100-00009D010000}"/>
    <hyperlink ref="A139" r:id="rId415" location="issuecomment-2158348729" xr:uid="{00000000-0004-0000-0100-00009E010000}"/>
    <hyperlink ref="C139" r:id="rId416" location="issuecomment-2331351518" xr:uid="{00000000-0004-0000-0100-00009F010000}"/>
    <hyperlink ref="G139" r:id="rId417" location="issuecomment-2331351518" xr:uid="{00000000-0004-0000-0100-0000A0010000}"/>
    <hyperlink ref="A140" r:id="rId418" location="discussion_r1664512005" xr:uid="{00000000-0004-0000-0100-0000A1010000}"/>
    <hyperlink ref="C140" r:id="rId419" location="issuecomment-2331639363" xr:uid="{00000000-0004-0000-0100-0000A2010000}"/>
    <hyperlink ref="G140" r:id="rId420" location="issuecomment-2331639363" xr:uid="{00000000-0004-0000-0100-0000A3010000}"/>
    <hyperlink ref="A141" r:id="rId421" location="issuecomment-2173528937" xr:uid="{00000000-0004-0000-0100-0000A4010000}"/>
    <hyperlink ref="C141" r:id="rId422" location="issuecomment-2445457916" xr:uid="{00000000-0004-0000-0100-0000A5010000}"/>
    <hyperlink ref="G141" r:id="rId423" location="issuecomment-2445457916" xr:uid="{00000000-0004-0000-0100-0000A6010000}"/>
    <hyperlink ref="A142" r:id="rId424" location="discussion_r1644509089" xr:uid="{00000000-0004-0000-0100-0000A7010000}"/>
    <hyperlink ref="C142" r:id="rId425" location="discussion_r1819880028" xr:uid="{00000000-0004-0000-0100-0000A8010000}"/>
    <hyperlink ref="G142" r:id="rId426" location="discussion_r1819880028" xr:uid="{00000000-0004-0000-0100-0000A9010000}"/>
    <hyperlink ref="A143" r:id="rId427" location="issuecomment-2260800234" xr:uid="{00000000-0004-0000-0100-0000AA010000}"/>
    <hyperlink ref="C143" r:id="rId428" location="issuecomment-2408543634" xr:uid="{00000000-0004-0000-0100-0000AB010000}"/>
    <hyperlink ref="G143" r:id="rId429" location="issuecomment-2408543634" xr:uid="{00000000-0004-0000-0100-0000AC010000}"/>
    <hyperlink ref="A144" r:id="rId430" location="issuecomment-2264155036" xr:uid="{00000000-0004-0000-0100-0000AD010000}"/>
    <hyperlink ref="C144" r:id="rId431" location="issuecomment-2469782864" xr:uid="{00000000-0004-0000-0100-0000AE010000}"/>
    <hyperlink ref="G144" r:id="rId432" location="issuecomment-2469782864" xr:uid="{00000000-0004-0000-0100-0000AF010000}"/>
    <hyperlink ref="A145" r:id="rId433" location="issuecomment-2243019123" xr:uid="{00000000-0004-0000-0100-0000B0010000}"/>
    <hyperlink ref="C145" r:id="rId434" location="discussion_r1856809685" xr:uid="{00000000-0004-0000-0100-0000B1010000}"/>
    <hyperlink ref="G145" r:id="rId435" location="discussion_r1856809685" xr:uid="{00000000-0004-0000-0100-0000B2010000}"/>
    <hyperlink ref="A146" r:id="rId436" location="issuecomment-2240820847" xr:uid="{00000000-0004-0000-0100-0000B3010000}"/>
    <hyperlink ref="C146" r:id="rId437" location="discussion_r1851061100" xr:uid="{00000000-0004-0000-0100-0000B4010000}"/>
    <hyperlink ref="G146" r:id="rId438" location="discussion_r1851061100" xr:uid="{00000000-0004-0000-0100-0000B5010000}"/>
    <hyperlink ref="A147" r:id="rId439" location="discussion_r1700879609" xr:uid="{00000000-0004-0000-0100-0000B6010000}"/>
    <hyperlink ref="C147" r:id="rId440" location="discussion_r1906988397" xr:uid="{00000000-0004-0000-0100-0000B7010000}"/>
    <hyperlink ref="G147" r:id="rId441" location="discussion_r1906988397" xr:uid="{00000000-0004-0000-0100-0000B8010000}"/>
    <hyperlink ref="A148" r:id="rId442" location="discussion_r1722395207" xr:uid="{00000000-0004-0000-0100-0000B9010000}"/>
    <hyperlink ref="C148" r:id="rId443" location="discussion_r1837312269" xr:uid="{00000000-0004-0000-0100-0000BA010000}"/>
    <hyperlink ref="G148" r:id="rId444" location="discussion_r1837312269" xr:uid="{00000000-0004-0000-0100-0000BB010000}"/>
    <hyperlink ref="A149" r:id="rId445" location="issuecomment-2223578650" xr:uid="{00000000-0004-0000-0100-0000BC010000}"/>
    <hyperlink ref="C149" r:id="rId446" location="discussion_r1850770100" xr:uid="{00000000-0004-0000-0100-0000BD010000}"/>
    <hyperlink ref="G149" r:id="rId447" location="discussion_r1850770100" xr:uid="{00000000-0004-0000-0100-0000BE010000}"/>
    <hyperlink ref="A150" r:id="rId448" location="issuecomment-2351227427" xr:uid="{00000000-0004-0000-0100-0000BF010000}"/>
    <hyperlink ref="C150" r:id="rId449" location="issuecomment-2541135317" xr:uid="{00000000-0004-0000-0100-0000C0010000}"/>
    <hyperlink ref="G150" r:id="rId450" location="issuecomment-2541135317" xr:uid="{00000000-0004-0000-0100-0000C1010000}"/>
    <hyperlink ref="A151" r:id="rId451" location="discussion_r1739214016" xr:uid="{00000000-0004-0000-0100-0000C2010000}"/>
    <hyperlink ref="C151" r:id="rId452" location="issuecomment-2541213731" xr:uid="{00000000-0004-0000-0100-0000C3010000}"/>
    <hyperlink ref="G151" r:id="rId453" location="issuecomment-2541213731" xr:uid="{00000000-0004-0000-0100-0000C4010000}"/>
    <hyperlink ref="A152" r:id="rId454" location="issuecomment-2298195864" xr:uid="{00000000-0004-0000-0100-0000C5010000}"/>
    <hyperlink ref="C152" r:id="rId455" location="issuecomment-2624532383" xr:uid="{00000000-0004-0000-0100-0000C6010000}"/>
    <hyperlink ref="G152" r:id="rId456" location="issuecomment-2624532383" xr:uid="{00000000-0004-0000-0100-0000C7010000}"/>
    <hyperlink ref="A153" r:id="rId457" location="issuecomment-2289243857" xr:uid="{00000000-0004-0000-0100-0000C8010000}"/>
    <hyperlink ref="C153" r:id="rId458" location="issuecomment-2663810694" xr:uid="{00000000-0004-0000-0100-0000C9010000}"/>
    <hyperlink ref="G153" r:id="rId459" location="issuecomment-2663810694" xr:uid="{00000000-0004-0000-0100-0000CA010000}"/>
    <hyperlink ref="A154" r:id="rId460" location="discussion_r1703897845" xr:uid="{00000000-0004-0000-0100-0000CB010000}"/>
    <hyperlink ref="C154" r:id="rId461" location="issuecomment-2597614481" xr:uid="{00000000-0004-0000-0100-0000CC010000}"/>
    <hyperlink ref="G154" r:id="rId462" location="issuecomment-2597614481" xr:uid="{00000000-0004-0000-0100-0000CD010000}"/>
    <hyperlink ref="A155" r:id="rId463" location="discussion_r1796528450" xr:uid="{00000000-0004-0000-0100-0000CE010000}"/>
    <hyperlink ref="C155" r:id="rId464" location="discussion_r1923604952" xr:uid="{00000000-0004-0000-0100-0000CF010000}"/>
    <hyperlink ref="G155" r:id="rId465" location="discussion_r1923604952" xr:uid="{00000000-0004-0000-0100-0000D0010000}"/>
    <hyperlink ref="A156" r:id="rId466" location="issuecomment-2318997943" xr:uid="{00000000-0004-0000-0100-0000D1010000}"/>
    <hyperlink ref="C156" r:id="rId467" location="discussion_r1905911491" xr:uid="{00000000-0004-0000-0100-0000D2010000}"/>
    <hyperlink ref="G156" r:id="rId468" location="discussion_r1905911491" xr:uid="{00000000-0004-0000-0100-0000D3010000}"/>
    <hyperlink ref="A157" r:id="rId469" location="issuecomment-2296393650" xr:uid="{00000000-0004-0000-0100-0000D4010000}"/>
    <hyperlink ref="C157" r:id="rId470" location="discussion_r1935940259" xr:uid="{00000000-0004-0000-0100-0000D5010000}"/>
    <hyperlink ref="G157" r:id="rId471" location="discussion_r1935940259" xr:uid="{00000000-0004-0000-0100-0000D6010000}"/>
    <hyperlink ref="A158" r:id="rId472" location="discussion_r1735211623" xr:uid="{00000000-0004-0000-0100-0000D7010000}"/>
    <hyperlink ref="C158" r:id="rId473" location="issuecomment-2670908811" xr:uid="{00000000-0004-0000-0100-0000D8010000}"/>
    <hyperlink ref="G158" r:id="rId474" location="issuecomment-2670908811" xr:uid="{00000000-0004-0000-0100-0000D9010000}"/>
    <hyperlink ref="A159" r:id="rId475" location="issuecomment-2269215873" xr:uid="{00000000-0004-0000-0100-0000DA010000}"/>
    <hyperlink ref="C159" r:id="rId476" location="issuecomment-2668874799" xr:uid="{00000000-0004-0000-0100-0000DB010000}"/>
    <hyperlink ref="G159" r:id="rId477" location="issuecomment-2668874799" xr:uid="{00000000-0004-0000-0100-0000DC010000}"/>
    <hyperlink ref="A160" r:id="rId478" location="issuecomment-2379969401" xr:uid="{00000000-0004-0000-0100-0000DD010000}"/>
    <hyperlink ref="C160" r:id="rId479" location="discussion_r545695302" xr:uid="{00000000-0004-0000-0100-0000DE010000}"/>
    <hyperlink ref="G160" r:id="rId480" location="discussion_r545695302" xr:uid="{00000000-0004-0000-0100-0000DF010000}"/>
    <hyperlink ref="A161" r:id="rId481" location="issuecomment-2380293932" xr:uid="{00000000-0004-0000-0100-0000E0010000}"/>
    <hyperlink ref="C161" r:id="rId482" location="discussion_r543497937" xr:uid="{00000000-0004-0000-0100-0000E1010000}"/>
    <hyperlink ref="G161" r:id="rId483" location="discussion_r543497937" xr:uid="{00000000-0004-0000-0100-0000E2010000}"/>
    <hyperlink ref="A162" r:id="rId484" location="issuecomment-2359660979" xr:uid="{00000000-0004-0000-0100-0000E3010000}"/>
    <hyperlink ref="C162" r:id="rId485" location="discussion_r567018223" xr:uid="{00000000-0004-0000-0100-0000E4010000}"/>
    <hyperlink ref="G162" r:id="rId486" location="discussion_r567018223" xr:uid="{00000000-0004-0000-0100-0000E5010000}"/>
    <hyperlink ref="A163" r:id="rId487" location="issuecomment-2377384077" xr:uid="{00000000-0004-0000-0100-0000E6010000}"/>
    <hyperlink ref="C163" r:id="rId488" location="issuecomment-765626800" xr:uid="{00000000-0004-0000-0100-0000E7010000}"/>
    <hyperlink ref="G163" r:id="rId489" location="issuecomment-765626800" xr:uid="{00000000-0004-0000-0100-0000E8010000}"/>
    <hyperlink ref="A164" r:id="rId490" location="issuecomment-2333447134" xr:uid="{00000000-0004-0000-0100-0000E9010000}"/>
    <hyperlink ref="C164" r:id="rId491" location="issuecomment-756679378" xr:uid="{00000000-0004-0000-0100-0000EA010000}"/>
    <hyperlink ref="G164" r:id="rId492" location="issuecomment-756679378" xr:uid="{00000000-0004-0000-0100-0000EB010000}"/>
    <hyperlink ref="A165" r:id="rId493" location="issuecomment-2341588367" xr:uid="{00000000-0004-0000-0100-0000EC010000}"/>
    <hyperlink ref="C165" r:id="rId494" location="issuecomment-756680553" xr:uid="{00000000-0004-0000-0100-0000ED010000}"/>
    <hyperlink ref="G165" r:id="rId495" location="issuecomment-756680553" xr:uid="{00000000-0004-0000-0100-0000EE010000}"/>
    <hyperlink ref="A166" r:id="rId496" location="issuecomment-2362192856" xr:uid="{00000000-0004-0000-0100-0000EF010000}"/>
    <hyperlink ref="C166" r:id="rId497" location="discussion_r559645850" xr:uid="{00000000-0004-0000-0100-0000F0010000}"/>
    <hyperlink ref="G166" r:id="rId498" location="discussion_r559645850" xr:uid="{00000000-0004-0000-0100-0000F1010000}"/>
    <hyperlink ref="A167" r:id="rId499" location="issuecomment-2331351518" xr:uid="{00000000-0004-0000-0100-0000F2010000}"/>
    <hyperlink ref="C167" r:id="rId500" location="issuecomment-779549912" xr:uid="{00000000-0004-0000-0100-0000F3010000}"/>
    <hyperlink ref="G167" r:id="rId501" location="issuecomment-779549912" xr:uid="{00000000-0004-0000-0100-0000F4010000}"/>
    <hyperlink ref="A168" r:id="rId502" location="issuecomment-2331639363" xr:uid="{00000000-0004-0000-0100-0000F5010000}"/>
    <hyperlink ref="C168" r:id="rId503" location="issuecomment-779550856" xr:uid="{00000000-0004-0000-0100-0000F6010000}"/>
    <hyperlink ref="G168" r:id="rId504" location="issuecomment-779550856" xr:uid="{00000000-0004-0000-0100-0000F7010000}"/>
    <hyperlink ref="A169" r:id="rId505" location="issuecomment-2445457916" xr:uid="{00000000-0004-0000-0100-0000F8010000}"/>
    <hyperlink ref="C169" r:id="rId506" location="issuecomment-797531035" xr:uid="{00000000-0004-0000-0100-0000F9010000}"/>
    <hyperlink ref="G169" r:id="rId507" location="issuecomment-797531035" xr:uid="{00000000-0004-0000-0100-0000FA010000}"/>
    <hyperlink ref="A170" r:id="rId508" location="discussion_r1793320556" xr:uid="{00000000-0004-0000-0100-0000FB010000}"/>
    <hyperlink ref="C170" r:id="rId509" location="issuecomment-801625181" xr:uid="{00000000-0004-0000-0100-0000FC010000}"/>
    <hyperlink ref="G170" r:id="rId510" location="issuecomment-801625181" xr:uid="{00000000-0004-0000-0100-0000FD010000}"/>
    <hyperlink ref="A171" r:id="rId511" location="discussion_r1819880028" xr:uid="{00000000-0004-0000-0100-0000FE010000}"/>
    <hyperlink ref="C171" r:id="rId512" location="issuecomment-801091000" xr:uid="{00000000-0004-0000-0100-0000FF010000}"/>
    <hyperlink ref="G171" r:id="rId513" location="issuecomment-801091000" xr:uid="{00000000-0004-0000-0100-000000020000}"/>
    <hyperlink ref="A172" r:id="rId514" location="issuecomment-2408543634" xr:uid="{00000000-0004-0000-0100-000001020000}"/>
    <hyperlink ref="C172" r:id="rId515" location="issuecomment-801105402" xr:uid="{00000000-0004-0000-0100-000002020000}"/>
    <hyperlink ref="G172" r:id="rId516" location="issuecomment-801105402" xr:uid="{00000000-0004-0000-0100-000003020000}"/>
    <hyperlink ref="A173" r:id="rId517" location="issuecomment-2469782864" xr:uid="{00000000-0004-0000-0100-000004020000}"/>
    <hyperlink ref="C173" r:id="rId518" location="issuecomment-793654227" xr:uid="{00000000-0004-0000-0100-000005020000}"/>
    <hyperlink ref="G173" r:id="rId519" location="issuecomment-793654227" xr:uid="{00000000-0004-0000-0100-000006020000}"/>
    <hyperlink ref="A174" r:id="rId520" location="discussion_r1856809685" xr:uid="{00000000-0004-0000-0100-000007020000}"/>
    <hyperlink ref="C174" r:id="rId521" location="issuecomment-837020051" xr:uid="{00000000-0004-0000-0100-000008020000}"/>
    <hyperlink ref="G174" r:id="rId522" location="issuecomment-837020051" xr:uid="{00000000-0004-0000-0100-000009020000}"/>
    <hyperlink ref="A175" r:id="rId523" location="discussion_r1851061100" xr:uid="{00000000-0004-0000-0100-00000A020000}"/>
    <hyperlink ref="C175" r:id="rId524" location="discussion_r637023560" xr:uid="{00000000-0004-0000-0100-00000B020000}"/>
    <hyperlink ref="G175" r:id="rId525" location="discussion_r637023560" xr:uid="{00000000-0004-0000-0100-00000C020000}"/>
    <hyperlink ref="A176" r:id="rId526" location="discussion_r1906988397" xr:uid="{00000000-0004-0000-0100-00000D020000}"/>
    <hyperlink ref="C176" r:id="rId527" location="issuecomment-856753293" xr:uid="{00000000-0004-0000-0100-00000E020000}"/>
    <hyperlink ref="G176" r:id="rId528" location="issuecomment-856753293" xr:uid="{00000000-0004-0000-0100-00000F020000}"/>
    <hyperlink ref="A177" r:id="rId529" location="discussion_r1837312269" xr:uid="{00000000-0004-0000-0100-000010020000}"/>
    <hyperlink ref="C177" r:id="rId530" location="issuecomment-848266671" xr:uid="{00000000-0004-0000-0100-000011020000}"/>
    <hyperlink ref="G177" r:id="rId531" location="issuecomment-848266671" xr:uid="{00000000-0004-0000-0100-000012020000}"/>
    <hyperlink ref="A178" r:id="rId532" location="discussion_r1826323106" xr:uid="{00000000-0004-0000-0100-000013020000}"/>
    <hyperlink ref="C178" r:id="rId533" location="issuecomment-837133410" xr:uid="{00000000-0004-0000-0100-000014020000}"/>
    <hyperlink ref="G178" r:id="rId534" location="issuecomment-837133410" xr:uid="{00000000-0004-0000-0100-000015020000}"/>
    <hyperlink ref="A179" r:id="rId535" location="discussion_r1850770100" xr:uid="{00000000-0004-0000-0100-000016020000}"/>
    <hyperlink ref="C179" r:id="rId536" location="issuecomment-835330799" xr:uid="{00000000-0004-0000-0100-000017020000}"/>
    <hyperlink ref="G179" r:id="rId537" location="issuecomment-835330799" xr:uid="{00000000-0004-0000-0100-000018020000}"/>
    <hyperlink ref="A180" r:id="rId538" location="issuecomment-2541135317" xr:uid="{00000000-0004-0000-0100-000019020000}"/>
    <hyperlink ref="C180" r:id="rId539" location="issuecomment-832071725" xr:uid="{00000000-0004-0000-0100-00001A020000}"/>
    <hyperlink ref="G180" r:id="rId540" location="issuecomment-832071725" xr:uid="{00000000-0004-0000-0100-00001B020000}"/>
    <hyperlink ref="A181" r:id="rId541" location="issuecomment-2541213731" xr:uid="{00000000-0004-0000-0100-00001C020000}"/>
    <hyperlink ref="C181" r:id="rId542" location="issuecomment-984087504" xr:uid="{00000000-0004-0000-0100-00001D020000}"/>
    <hyperlink ref="G181" r:id="rId543" location="issuecomment-984087504" xr:uid="{00000000-0004-0000-0100-00001E020000}"/>
    <hyperlink ref="A182" r:id="rId544" location="issuecomment-2624532383" xr:uid="{00000000-0004-0000-0100-00001F020000}"/>
    <hyperlink ref="C182" r:id="rId545" location="issuecomment-985285721" xr:uid="{00000000-0004-0000-0100-000020020000}"/>
    <hyperlink ref="G182" r:id="rId546" location="issuecomment-985285721" xr:uid="{00000000-0004-0000-0100-000021020000}"/>
    <hyperlink ref="A183" r:id="rId547" location="issuecomment-2663810694" xr:uid="{00000000-0004-0000-0100-000022020000}"/>
    <hyperlink ref="C183" r:id="rId548" location="issuecomment-863421123" xr:uid="{00000000-0004-0000-0100-000023020000}"/>
    <hyperlink ref="G183" r:id="rId549" location="issuecomment-863421123" xr:uid="{00000000-0004-0000-0100-000024020000}"/>
    <hyperlink ref="A184" r:id="rId550" location="issuecomment-2597614481" xr:uid="{00000000-0004-0000-0100-000025020000}"/>
    <hyperlink ref="C184" r:id="rId551" location="issuecomment-888678243" xr:uid="{00000000-0004-0000-0100-000026020000}"/>
    <hyperlink ref="G184" r:id="rId552" location="issuecomment-888678243" xr:uid="{00000000-0004-0000-0100-000027020000}"/>
    <hyperlink ref="A185" r:id="rId553" location="discussion_r1923604952" xr:uid="{00000000-0004-0000-0100-000028020000}"/>
    <hyperlink ref="C185" r:id="rId554" location="issuecomment-884843049" xr:uid="{00000000-0004-0000-0100-000029020000}"/>
    <hyperlink ref="G185" r:id="rId555" location="issuecomment-884843049" xr:uid="{00000000-0004-0000-0100-00002A020000}"/>
    <hyperlink ref="A186" r:id="rId556" location="discussion_r1905911491" xr:uid="{00000000-0004-0000-0100-00002B020000}"/>
    <hyperlink ref="C186" r:id="rId557" location="discussion_r676438744" xr:uid="{00000000-0004-0000-0100-00002C020000}"/>
    <hyperlink ref="G186" r:id="rId558" location="discussion_r676438744" xr:uid="{00000000-0004-0000-0100-00002D020000}"/>
    <hyperlink ref="A187" r:id="rId559" location="discussion_r1935940259" xr:uid="{00000000-0004-0000-0100-00002E020000}"/>
    <hyperlink ref="C187" r:id="rId560" location="issuecomment-884723190" xr:uid="{00000000-0004-0000-0100-00002F020000}"/>
    <hyperlink ref="G187" r:id="rId561" location="issuecomment-884723190" xr:uid="{00000000-0004-0000-0100-000030020000}"/>
    <hyperlink ref="A188" r:id="rId562" location="issuecomment-2670908811" xr:uid="{00000000-0004-0000-0100-000031020000}"/>
    <hyperlink ref="C188" r:id="rId563" location="issuecomment-889533506" xr:uid="{00000000-0004-0000-0100-000032020000}"/>
    <hyperlink ref="G188" r:id="rId564" location="issuecomment-889533506" xr:uid="{00000000-0004-0000-0100-000033020000}"/>
    <hyperlink ref="A189" r:id="rId565" location="issuecomment-2668874799" xr:uid="{00000000-0004-0000-0100-000034020000}"/>
    <hyperlink ref="C189" r:id="rId566" location="discussion_r679838147" xr:uid="{00000000-0004-0000-0100-000035020000}"/>
    <hyperlink ref="G189" r:id="rId567" location="discussion_r679838147" xr:uid="{00000000-0004-0000-0100-000036020000}"/>
    <hyperlink ref="A190" r:id="rId568" location="discussion_r545695302" xr:uid="{00000000-0004-0000-0100-000037020000}"/>
    <hyperlink ref="C190" r:id="rId569" location="issuecomment-878619570" xr:uid="{00000000-0004-0000-0100-000038020000}"/>
    <hyperlink ref="G190" r:id="rId570" location="issuecomment-878619570" xr:uid="{00000000-0004-0000-0100-000039020000}"/>
    <hyperlink ref="A191" r:id="rId571" location="discussion_r543497937" xr:uid="{00000000-0004-0000-0100-00003A020000}"/>
    <hyperlink ref="C191" r:id="rId572" location="issuecomment-883348633" xr:uid="{00000000-0004-0000-0100-00003B020000}"/>
    <hyperlink ref="G191" r:id="rId573" location="issuecomment-883348633" xr:uid="{00000000-0004-0000-0100-00003C020000}"/>
    <hyperlink ref="A192" r:id="rId574" location="discussion_r567018223" xr:uid="{00000000-0004-0000-0100-00003D020000}"/>
    <hyperlink ref="C192" r:id="rId575" location="issuecomment-874051052" xr:uid="{00000000-0004-0000-0100-00003E020000}"/>
    <hyperlink ref="G192" r:id="rId576" location="issuecomment-874051052" xr:uid="{00000000-0004-0000-0100-00003F020000}"/>
    <hyperlink ref="A193" r:id="rId577" location="issuecomment-765626800" xr:uid="{00000000-0004-0000-0100-000040020000}"/>
    <hyperlink ref="C193" r:id="rId578" location="issuecomment-900553213" xr:uid="{00000000-0004-0000-0100-000041020000}"/>
    <hyperlink ref="G193" r:id="rId579" location="issuecomment-900553213" xr:uid="{00000000-0004-0000-0100-000042020000}"/>
    <hyperlink ref="A194" r:id="rId580" location="issuecomment-756679378" xr:uid="{00000000-0004-0000-0100-000043020000}"/>
    <hyperlink ref="C194" r:id="rId581" location="issuecomment-910057384" xr:uid="{00000000-0004-0000-0100-000044020000}"/>
    <hyperlink ref="G194" r:id="rId582" location="issuecomment-910057384" xr:uid="{00000000-0004-0000-0100-000045020000}"/>
    <hyperlink ref="A195" r:id="rId583" location="issuecomment-756680553" xr:uid="{00000000-0004-0000-0100-000046020000}"/>
    <hyperlink ref="C195" r:id="rId584" location="issuecomment-913474266" xr:uid="{00000000-0004-0000-0100-000047020000}"/>
    <hyperlink ref="G195" r:id="rId585" location="issuecomment-913474266" xr:uid="{00000000-0004-0000-0100-000048020000}"/>
    <hyperlink ref="A196" r:id="rId586" location="discussion_r559645850" xr:uid="{00000000-0004-0000-0100-000049020000}"/>
    <hyperlink ref="C196" r:id="rId587" location="issuecomment-892080725" xr:uid="{00000000-0004-0000-0100-00004A020000}"/>
    <hyperlink ref="G196" r:id="rId588" location="issuecomment-892080725" xr:uid="{00000000-0004-0000-0100-00004B020000}"/>
    <hyperlink ref="A197" r:id="rId589" location="issuecomment-779549912" xr:uid="{00000000-0004-0000-0100-00004C020000}"/>
    <hyperlink ref="C197" r:id="rId590" location="issuecomment-892088511" xr:uid="{00000000-0004-0000-0100-00004D020000}"/>
    <hyperlink ref="G197" r:id="rId591" location="issuecomment-892088511" xr:uid="{00000000-0004-0000-0100-00004E020000}"/>
    <hyperlink ref="A198" r:id="rId592" location="issuecomment-779550856" xr:uid="{00000000-0004-0000-0100-00004F020000}"/>
    <hyperlink ref="C198" r:id="rId593" location="issuecomment-904955772" xr:uid="{00000000-0004-0000-0100-000050020000}"/>
    <hyperlink ref="G198" r:id="rId594" location="issuecomment-904955772" xr:uid="{00000000-0004-0000-0100-000051020000}"/>
    <hyperlink ref="A199" r:id="rId595" location="issuecomment-797531035" xr:uid="{00000000-0004-0000-0100-000052020000}"/>
    <hyperlink ref="C199" r:id="rId596" location="issuecomment-899635644" xr:uid="{00000000-0004-0000-0100-000053020000}"/>
    <hyperlink ref="G199" r:id="rId597" location="issuecomment-899635644" xr:uid="{00000000-0004-0000-0100-000054020000}"/>
    <hyperlink ref="A200" r:id="rId598" location="issuecomment-801625181" xr:uid="{00000000-0004-0000-0100-000055020000}"/>
    <hyperlink ref="C200" r:id="rId599" location="issuecomment-900114068" xr:uid="{00000000-0004-0000-0100-000056020000}"/>
    <hyperlink ref="G200" r:id="rId600" location="issuecomment-900114068" xr:uid="{00000000-0004-0000-0100-000057020000}"/>
    <hyperlink ref="A201" r:id="rId601" location="issuecomment-801091000" xr:uid="{00000000-0004-0000-0100-000058020000}"/>
    <hyperlink ref="C201" r:id="rId602" location="issuecomment-901702021" xr:uid="{00000000-0004-0000-0100-000059020000}"/>
    <hyperlink ref="G201" r:id="rId603" location="issuecomment-901702021" xr:uid="{00000000-0004-0000-0100-00005A020000}"/>
    <hyperlink ref="A202" r:id="rId604" location="issuecomment-801105402" xr:uid="{00000000-0004-0000-0100-00005B020000}"/>
    <hyperlink ref="C202" r:id="rId605" location="issuecomment-901720443" xr:uid="{00000000-0004-0000-0100-00005C020000}"/>
    <hyperlink ref="G202" r:id="rId606" location="issuecomment-901720443" xr:uid="{00000000-0004-0000-0100-00005D020000}"/>
    <hyperlink ref="A203" r:id="rId607" location="issuecomment-793654227" xr:uid="{00000000-0004-0000-0100-00005E020000}"/>
    <hyperlink ref="C203" r:id="rId608" location="issuecomment-906414490" xr:uid="{00000000-0004-0000-0100-00005F020000}"/>
    <hyperlink ref="G203" r:id="rId609" location="issuecomment-906414490" xr:uid="{00000000-0004-0000-0100-000060020000}"/>
    <hyperlink ref="A204" r:id="rId610" location="issuecomment-837020051" xr:uid="{00000000-0004-0000-0100-000061020000}"/>
    <hyperlink ref="C204" r:id="rId611" location="discussion_r702913628" xr:uid="{00000000-0004-0000-0100-000062020000}"/>
    <hyperlink ref="G204" r:id="rId612" location="discussion_r702913628" xr:uid="{00000000-0004-0000-0100-000063020000}"/>
    <hyperlink ref="A205" r:id="rId613" location="discussion_r637023560" xr:uid="{00000000-0004-0000-0100-000064020000}"/>
    <hyperlink ref="C205" r:id="rId614" location="discussion_r702913729" xr:uid="{00000000-0004-0000-0100-000065020000}"/>
    <hyperlink ref="G205" r:id="rId615" location="discussion_r702913729" xr:uid="{00000000-0004-0000-0100-000066020000}"/>
    <hyperlink ref="A206" r:id="rId616" location="issuecomment-856753293" xr:uid="{00000000-0004-0000-0100-000067020000}"/>
    <hyperlink ref="C206" r:id="rId617" location="issuecomment-924130437" xr:uid="{00000000-0004-0000-0100-000068020000}"/>
    <hyperlink ref="G206" r:id="rId618" location="issuecomment-924130437" xr:uid="{00000000-0004-0000-0100-000069020000}"/>
    <hyperlink ref="A207" r:id="rId619" location="issuecomment-848266671" xr:uid="{00000000-0004-0000-0100-00006A020000}"/>
    <hyperlink ref="C207" r:id="rId620" location="issuecomment-924181155" xr:uid="{00000000-0004-0000-0100-00006B020000}"/>
    <hyperlink ref="G207" r:id="rId621" location="issuecomment-924181155" xr:uid="{00000000-0004-0000-0100-00006C020000}"/>
    <hyperlink ref="A208" r:id="rId622" location="issuecomment-837133410" xr:uid="{00000000-0004-0000-0100-00006D020000}"/>
    <hyperlink ref="C208" r:id="rId623" location="issuecomment-932479529" xr:uid="{00000000-0004-0000-0100-00006E020000}"/>
    <hyperlink ref="G208" r:id="rId624" location="issuecomment-932479529" xr:uid="{00000000-0004-0000-0100-00006F020000}"/>
    <hyperlink ref="A209" r:id="rId625" location="issuecomment-835330799" xr:uid="{00000000-0004-0000-0100-000070020000}"/>
    <hyperlink ref="C209" r:id="rId626" location="issuecomment-920667290" xr:uid="{00000000-0004-0000-0100-000071020000}"/>
    <hyperlink ref="G209" r:id="rId627" location="issuecomment-920667290" xr:uid="{00000000-0004-0000-0100-000072020000}"/>
    <hyperlink ref="A210" r:id="rId628" location="issuecomment-832071725" xr:uid="{00000000-0004-0000-0100-000073020000}"/>
    <hyperlink ref="C210" r:id="rId629" location="discussion_r739843790" xr:uid="{00000000-0004-0000-0100-000074020000}"/>
    <hyperlink ref="G210" r:id="rId630" location="discussion_r739843790" xr:uid="{00000000-0004-0000-0100-000075020000}"/>
    <hyperlink ref="A211" r:id="rId631" location="issuecomment-984087504" xr:uid="{00000000-0004-0000-0100-000076020000}"/>
    <hyperlink ref="C211" r:id="rId632" location="issuecomment-942076500" xr:uid="{00000000-0004-0000-0100-000077020000}"/>
    <hyperlink ref="G211" r:id="rId633" location="issuecomment-942076500" xr:uid="{00000000-0004-0000-0100-000078020000}"/>
    <hyperlink ref="A212" r:id="rId634" location="issuecomment-985285721" xr:uid="{00000000-0004-0000-0100-000079020000}"/>
    <hyperlink ref="C212" r:id="rId635" location="issuecomment-970242570" xr:uid="{00000000-0004-0000-0100-00007A020000}"/>
    <hyperlink ref="G212" r:id="rId636" location="issuecomment-970242570" xr:uid="{00000000-0004-0000-0100-00007B020000}"/>
    <hyperlink ref="A213" r:id="rId637" location="issuecomment-863421123" xr:uid="{00000000-0004-0000-0100-00007C020000}"/>
    <hyperlink ref="C213" r:id="rId638" location="discussion_r779691202" xr:uid="{00000000-0004-0000-0100-00007D020000}"/>
    <hyperlink ref="G213" r:id="rId639" location="discussion_r779691202" xr:uid="{00000000-0004-0000-0100-00007E020000}"/>
    <hyperlink ref="A214" r:id="rId640" location="issuecomment-888678243" xr:uid="{00000000-0004-0000-0100-00007F020000}"/>
    <hyperlink ref="C214" r:id="rId641" location="issuecomment-970508235" xr:uid="{00000000-0004-0000-0100-000080020000}"/>
    <hyperlink ref="G214" r:id="rId642" location="issuecomment-970508235" xr:uid="{00000000-0004-0000-0100-000081020000}"/>
    <hyperlink ref="A215" r:id="rId643" location="issuecomment-884843049" xr:uid="{00000000-0004-0000-0100-000082020000}"/>
    <hyperlink ref="C215" r:id="rId644" location="issuecomment-971788502" xr:uid="{00000000-0004-0000-0100-000083020000}"/>
    <hyperlink ref="G215" r:id="rId645" location="issuecomment-971788502" xr:uid="{00000000-0004-0000-0100-000084020000}"/>
    <hyperlink ref="A216" r:id="rId646" location="discussion_r676438744" xr:uid="{00000000-0004-0000-0100-000085020000}"/>
    <hyperlink ref="C216" r:id="rId647" location="issuecomment-976168691" xr:uid="{00000000-0004-0000-0100-000086020000}"/>
    <hyperlink ref="G216" r:id="rId648" location="issuecomment-976168691" xr:uid="{00000000-0004-0000-0100-000087020000}"/>
    <hyperlink ref="A217" r:id="rId649" location="issuecomment-884723190" xr:uid="{00000000-0004-0000-0100-000088020000}"/>
    <hyperlink ref="C217" r:id="rId650" location="discussion_r793138311" xr:uid="{00000000-0004-0000-0100-000089020000}"/>
    <hyperlink ref="G217" r:id="rId651" location="discussion_r793138311" xr:uid="{00000000-0004-0000-0100-00008A020000}"/>
    <hyperlink ref="A218" r:id="rId652" location="issuecomment-889533506" xr:uid="{00000000-0004-0000-0100-00008B020000}"/>
    <hyperlink ref="C218" r:id="rId653" location="discussion_r769552260" xr:uid="{00000000-0004-0000-0100-00008C020000}"/>
    <hyperlink ref="G218" r:id="rId654" location="discussion_r769552260" xr:uid="{00000000-0004-0000-0100-00008D020000}"/>
    <hyperlink ref="A219" r:id="rId655" location="discussion_r679838147" xr:uid="{00000000-0004-0000-0100-00008E020000}"/>
    <hyperlink ref="C219" r:id="rId656" location="issuecomment-1000705330" xr:uid="{00000000-0004-0000-0100-00008F020000}"/>
    <hyperlink ref="G219" r:id="rId657" location="issuecomment-1000705330" xr:uid="{00000000-0004-0000-0100-000090020000}"/>
    <hyperlink ref="A220" r:id="rId658" location="issuecomment-878619570" xr:uid="{00000000-0004-0000-0100-000091020000}"/>
    <hyperlink ref="C220" r:id="rId659" location="issuecomment-1000097664" xr:uid="{00000000-0004-0000-0100-000092020000}"/>
    <hyperlink ref="G220" r:id="rId660" location="issuecomment-1000097664" xr:uid="{00000000-0004-0000-0100-000093020000}"/>
    <hyperlink ref="A221" r:id="rId661" location="issuecomment-883348633" xr:uid="{00000000-0004-0000-0100-000094020000}"/>
    <hyperlink ref="C221" r:id="rId662" location="issuecomment-1000107533" xr:uid="{00000000-0004-0000-0100-000095020000}"/>
    <hyperlink ref="G221" r:id="rId663" location="issuecomment-1000107533" xr:uid="{00000000-0004-0000-0100-000096020000}"/>
    <hyperlink ref="A222" r:id="rId664" location="issuecomment-874051052" xr:uid="{00000000-0004-0000-0100-000097020000}"/>
    <hyperlink ref="C222" r:id="rId665" location="issuecomment-994836463" xr:uid="{00000000-0004-0000-0100-000098020000}"/>
    <hyperlink ref="G222" r:id="rId666" location="issuecomment-994836463" xr:uid="{00000000-0004-0000-0100-000099020000}"/>
    <hyperlink ref="A223" r:id="rId667" location="issuecomment-900553213" xr:uid="{00000000-0004-0000-0100-00009A020000}"/>
    <hyperlink ref="C223" r:id="rId668" location="issuecomment-994966005" xr:uid="{00000000-0004-0000-0100-00009B020000}"/>
    <hyperlink ref="G223" r:id="rId669" location="issuecomment-994966005" xr:uid="{00000000-0004-0000-0100-00009C020000}"/>
    <hyperlink ref="A224" r:id="rId670" location="issuecomment-910057384" xr:uid="{00000000-0004-0000-0100-00009D020000}"/>
    <hyperlink ref="C224" r:id="rId671" location="issuecomment-1009184755" xr:uid="{00000000-0004-0000-0100-00009E020000}"/>
    <hyperlink ref="G224" r:id="rId672" location="issuecomment-1009184755" xr:uid="{00000000-0004-0000-0100-00009F020000}"/>
    <hyperlink ref="A225" r:id="rId673" location="issuecomment-913474266" xr:uid="{00000000-0004-0000-0100-0000A0020000}"/>
    <hyperlink ref="C225" r:id="rId674" location="discussion_r782253740" xr:uid="{00000000-0004-0000-0100-0000A1020000}"/>
    <hyperlink ref="G225" r:id="rId675" location="discussion_r782253740" xr:uid="{00000000-0004-0000-0100-0000A2020000}"/>
    <hyperlink ref="A226" r:id="rId676" location="issuecomment-892080725" xr:uid="{00000000-0004-0000-0100-0000A3020000}"/>
    <hyperlink ref="C226" r:id="rId677" location="discussion_r765954024" xr:uid="{00000000-0004-0000-0100-0000A4020000}"/>
    <hyperlink ref="G226" r:id="rId678" location="discussion_r765954024" xr:uid="{00000000-0004-0000-0100-0000A5020000}"/>
    <hyperlink ref="A227" r:id="rId679" location="issuecomment-892088511" xr:uid="{00000000-0004-0000-0100-0000A6020000}"/>
    <hyperlink ref="C227" r:id="rId680" location="issuecomment-1021693435" xr:uid="{00000000-0004-0000-0100-0000A7020000}"/>
    <hyperlink ref="G227" r:id="rId681" location="issuecomment-1021693435" xr:uid="{00000000-0004-0000-0100-0000A8020000}"/>
    <hyperlink ref="A228" r:id="rId682" location="issuecomment-904955772" xr:uid="{00000000-0004-0000-0100-0000A9020000}"/>
    <hyperlink ref="C228" r:id="rId683" location="issuecomment-1004912593" xr:uid="{00000000-0004-0000-0100-0000AA020000}"/>
    <hyperlink ref="G228" r:id="rId684" location="issuecomment-1004912593" xr:uid="{00000000-0004-0000-0100-0000AB020000}"/>
    <hyperlink ref="A229" r:id="rId685" location="issuecomment-899635644" xr:uid="{00000000-0004-0000-0100-0000AC020000}"/>
    <hyperlink ref="C229" r:id="rId686" location="issuecomment-1004920865" xr:uid="{00000000-0004-0000-0100-0000AD020000}"/>
    <hyperlink ref="G229" r:id="rId687" location="issuecomment-1004920865" xr:uid="{00000000-0004-0000-0100-0000AE020000}"/>
    <hyperlink ref="A230" r:id="rId688" location="issuecomment-900114068" xr:uid="{00000000-0004-0000-0100-0000AF020000}"/>
    <hyperlink ref="C230" r:id="rId689" location="discussion_r784065168" xr:uid="{00000000-0004-0000-0100-0000B0020000}"/>
    <hyperlink ref="G230" r:id="rId690" location="discussion_r784065168" xr:uid="{00000000-0004-0000-0100-0000B1020000}"/>
    <hyperlink ref="A231" r:id="rId691" location="issuecomment-901702021" xr:uid="{00000000-0004-0000-0100-0000B2020000}"/>
    <hyperlink ref="C231" r:id="rId692" location="discussion_r807925280" xr:uid="{00000000-0004-0000-0100-0000B3020000}"/>
    <hyperlink ref="G231" r:id="rId693" location="discussion_r807925280" xr:uid="{00000000-0004-0000-0100-0000B4020000}"/>
    <hyperlink ref="A232" r:id="rId694" location="issuecomment-901720443" xr:uid="{00000000-0004-0000-0100-0000B5020000}"/>
    <hyperlink ref="C232" r:id="rId695" location="issuecomment-1026674714" xr:uid="{00000000-0004-0000-0100-0000B6020000}"/>
    <hyperlink ref="G232" r:id="rId696" location="issuecomment-1026674714" xr:uid="{00000000-0004-0000-0100-0000B7020000}"/>
    <hyperlink ref="A233" r:id="rId697" location="issuecomment-906414490" xr:uid="{00000000-0004-0000-0100-0000B8020000}"/>
    <hyperlink ref="C233" r:id="rId698" location="discussion_r842892057" xr:uid="{00000000-0004-0000-0100-0000B9020000}"/>
    <hyperlink ref="G233" r:id="rId699" location="discussion_r842892057" xr:uid="{00000000-0004-0000-0100-0000BA020000}"/>
    <hyperlink ref="A234" r:id="rId700" location="discussion_r702913628" xr:uid="{00000000-0004-0000-0100-0000BB020000}"/>
    <hyperlink ref="C234" r:id="rId701" location="issuecomment-1075108673" xr:uid="{00000000-0004-0000-0100-0000BC020000}"/>
    <hyperlink ref="G234" r:id="rId702" location="issuecomment-1075108673" xr:uid="{00000000-0004-0000-0100-0000BD020000}"/>
    <hyperlink ref="A235" r:id="rId703" location="discussion_r702913729" xr:uid="{00000000-0004-0000-0100-0000BE020000}"/>
    <hyperlink ref="C235" r:id="rId704" location="discussion_r820811558" xr:uid="{00000000-0004-0000-0100-0000BF020000}"/>
    <hyperlink ref="G235" r:id="rId705" location="discussion_r820811558" xr:uid="{00000000-0004-0000-0100-0000C0020000}"/>
    <hyperlink ref="A236" r:id="rId706" location="issuecomment-924130437" xr:uid="{00000000-0004-0000-0100-0000C1020000}"/>
    <hyperlink ref="C236" r:id="rId707" location="issuecomment-1066596746" xr:uid="{00000000-0004-0000-0100-0000C2020000}"/>
    <hyperlink ref="G236" r:id="rId708" location="issuecomment-1066596746" xr:uid="{00000000-0004-0000-0100-0000C3020000}"/>
    <hyperlink ref="A237" r:id="rId709" location="issuecomment-924181155" xr:uid="{00000000-0004-0000-0100-0000C4020000}"/>
    <hyperlink ref="C237" r:id="rId710" location="discussion_r838791044" xr:uid="{00000000-0004-0000-0100-0000C5020000}"/>
    <hyperlink ref="G237" r:id="rId711" location="discussion_r838791044" xr:uid="{00000000-0004-0000-0100-0000C6020000}"/>
    <hyperlink ref="A238" r:id="rId712" location="issuecomment-932479529" xr:uid="{00000000-0004-0000-0100-0000C7020000}"/>
    <hyperlink ref="C238" r:id="rId713" location="discussion_r857226722" xr:uid="{00000000-0004-0000-0100-0000C8020000}"/>
    <hyperlink ref="G238" r:id="rId714" location="discussion_r857226722" xr:uid="{00000000-0004-0000-0100-0000C9020000}"/>
    <hyperlink ref="A239" r:id="rId715" location="issuecomment-920667290" xr:uid="{00000000-0004-0000-0100-0000CA020000}"/>
    <hyperlink ref="C239" r:id="rId716" location="discussion_r842299961" xr:uid="{00000000-0004-0000-0100-0000CB020000}"/>
    <hyperlink ref="G239" r:id="rId717" location="discussion_r842299961" xr:uid="{00000000-0004-0000-0100-0000CC020000}"/>
    <hyperlink ref="A240" r:id="rId718" location="discussion_r739843790" xr:uid="{00000000-0004-0000-0100-0000CD020000}"/>
    <hyperlink ref="C240" r:id="rId719" location="discussion_r877330203" xr:uid="{00000000-0004-0000-0100-0000CE020000}"/>
    <hyperlink ref="G240" r:id="rId720" location="discussion_r877330203" xr:uid="{00000000-0004-0000-0100-0000CF020000}"/>
    <hyperlink ref="A241" r:id="rId721" location="issuecomment-942076500" xr:uid="{00000000-0004-0000-0100-0000D0020000}"/>
    <hyperlink ref="C241" r:id="rId722" location="discussion_r848878274" xr:uid="{00000000-0004-0000-0100-0000D1020000}"/>
    <hyperlink ref="G241" r:id="rId723" location="discussion_r848878274" xr:uid="{00000000-0004-0000-0100-0000D2020000}"/>
    <hyperlink ref="A242" r:id="rId724" location="issuecomment-970242570" xr:uid="{00000000-0004-0000-0100-0000D3020000}"/>
    <hyperlink ref="C242" r:id="rId725" location="issuecomment-1142183578" xr:uid="{00000000-0004-0000-0100-0000D4020000}"/>
    <hyperlink ref="G242" r:id="rId726" location="issuecomment-1142183578" xr:uid="{00000000-0004-0000-0100-0000D5020000}"/>
    <hyperlink ref="A243" r:id="rId727" location="discussion_r779691202" xr:uid="{00000000-0004-0000-0100-0000D6020000}"/>
    <hyperlink ref="C243" r:id="rId728" location="issuecomment-1128036138" xr:uid="{00000000-0004-0000-0100-0000D7020000}"/>
    <hyperlink ref="G243" r:id="rId729" location="issuecomment-1128036138" xr:uid="{00000000-0004-0000-0100-0000D8020000}"/>
    <hyperlink ref="A244" r:id="rId730" location="issuecomment-970508235" xr:uid="{00000000-0004-0000-0100-0000D9020000}"/>
    <hyperlink ref="C244" r:id="rId731" location="issuecomment-1128167602" xr:uid="{00000000-0004-0000-0100-0000DA020000}"/>
    <hyperlink ref="G244" r:id="rId732" location="issuecomment-1128167602" xr:uid="{00000000-0004-0000-0100-0000DB020000}"/>
    <hyperlink ref="A245" r:id="rId733" location="issuecomment-971788502" xr:uid="{00000000-0004-0000-0100-0000DC020000}"/>
    <hyperlink ref="C245" r:id="rId734" location="issuecomment-1126159948" xr:uid="{00000000-0004-0000-0100-0000DD020000}"/>
    <hyperlink ref="G245" r:id="rId735" location="issuecomment-1126159948" xr:uid="{00000000-0004-0000-0100-0000DE020000}"/>
    <hyperlink ref="A246" r:id="rId736" location="issuecomment-976168691" xr:uid="{00000000-0004-0000-0100-0000DF020000}"/>
    <hyperlink ref="C246" r:id="rId737" location="discussion_r870062272" xr:uid="{00000000-0004-0000-0100-0000E0020000}"/>
    <hyperlink ref="G246" r:id="rId738" location="discussion_r870062272" xr:uid="{00000000-0004-0000-0100-0000E1020000}"/>
    <hyperlink ref="A247" r:id="rId739" location="discussion_r793138311" xr:uid="{00000000-0004-0000-0100-0000E2020000}"/>
    <hyperlink ref="C247" r:id="rId740" location="issuecomment-1137141845" xr:uid="{00000000-0004-0000-0100-0000E3020000}"/>
    <hyperlink ref="G247" r:id="rId741" location="issuecomment-1137141845" xr:uid="{00000000-0004-0000-0100-0000E4020000}"/>
    <hyperlink ref="A248" r:id="rId742" location="discussion_r769552260" xr:uid="{00000000-0004-0000-0100-0000E5020000}"/>
    <hyperlink ref="C248" r:id="rId743" location="issuecomment-1128161665" xr:uid="{00000000-0004-0000-0100-0000E6020000}"/>
    <hyperlink ref="G248" r:id="rId744" location="issuecomment-1128161665" xr:uid="{00000000-0004-0000-0100-0000E7020000}"/>
    <hyperlink ref="A249" r:id="rId745" location="issuecomment-1000705330" xr:uid="{00000000-0004-0000-0100-0000E8020000}"/>
    <hyperlink ref="C249" r:id="rId746" location="issuecomment-1130487309" xr:uid="{00000000-0004-0000-0100-0000E9020000}"/>
    <hyperlink ref="G249" r:id="rId747" location="issuecomment-1130487309" xr:uid="{00000000-0004-0000-0100-0000EA020000}"/>
    <hyperlink ref="A250" r:id="rId748" location="issuecomment-1000097664" xr:uid="{00000000-0004-0000-0100-0000EB020000}"/>
    <hyperlink ref="C250" r:id="rId749" location="issuecomment-1144002961" xr:uid="{00000000-0004-0000-0100-0000EC020000}"/>
    <hyperlink ref="G250" r:id="rId750" location="issuecomment-1144002961" xr:uid="{00000000-0004-0000-0100-0000ED020000}"/>
    <hyperlink ref="A251" r:id="rId751" location="issuecomment-1000107533" xr:uid="{00000000-0004-0000-0100-0000EE020000}"/>
    <hyperlink ref="C251" r:id="rId752" location="issuecomment-1135152219" xr:uid="{00000000-0004-0000-0100-0000EF020000}"/>
    <hyperlink ref="G251" r:id="rId753" location="issuecomment-1135152219" xr:uid="{00000000-0004-0000-0100-0000F0020000}"/>
    <hyperlink ref="A252" r:id="rId754" location="issuecomment-994836463" xr:uid="{00000000-0004-0000-0100-0000F1020000}"/>
    <hyperlink ref="C252" r:id="rId755" location="issuecomment-1125506624" xr:uid="{00000000-0004-0000-0100-0000F2020000}"/>
    <hyperlink ref="G252" r:id="rId756" location="issuecomment-1125506624" xr:uid="{00000000-0004-0000-0100-0000F3020000}"/>
    <hyperlink ref="A253" r:id="rId757" location="issuecomment-994966005" xr:uid="{00000000-0004-0000-0100-0000F4020000}"/>
    <hyperlink ref="C253" r:id="rId758" location="issuecomment-1126018662" xr:uid="{00000000-0004-0000-0100-0000F5020000}"/>
    <hyperlink ref="G253" r:id="rId759" location="issuecomment-1126018662" xr:uid="{00000000-0004-0000-0100-0000F6020000}"/>
    <hyperlink ref="A254" r:id="rId760" location="issuecomment-1009184755" xr:uid="{00000000-0004-0000-0100-0000F7020000}"/>
    <hyperlink ref="C254" r:id="rId761" location="issuecomment-1127888784" xr:uid="{00000000-0004-0000-0100-0000F8020000}"/>
    <hyperlink ref="G254" r:id="rId762" location="issuecomment-1127888784" xr:uid="{00000000-0004-0000-0100-0000F9020000}"/>
    <hyperlink ref="A255" r:id="rId763" location="discussion_r782253740" xr:uid="{00000000-0004-0000-0100-0000FA020000}"/>
    <hyperlink ref="C255" r:id="rId764" location="issuecomment-1149608974" xr:uid="{00000000-0004-0000-0100-0000FB020000}"/>
    <hyperlink ref="G255" r:id="rId765" location="issuecomment-1149608974" xr:uid="{00000000-0004-0000-0100-0000FC020000}"/>
    <hyperlink ref="A256" r:id="rId766" location="discussion_r765954024" xr:uid="{00000000-0004-0000-0100-0000FD020000}"/>
    <hyperlink ref="C256" r:id="rId767" location="issuecomment-1152400891" xr:uid="{00000000-0004-0000-0100-0000FE020000}"/>
    <hyperlink ref="G256" r:id="rId768" location="issuecomment-1152400891" xr:uid="{00000000-0004-0000-0100-0000FF020000}"/>
    <hyperlink ref="A257" r:id="rId769" location="issuecomment-1021693435" xr:uid="{00000000-0004-0000-0100-000000030000}"/>
    <hyperlink ref="C257" r:id="rId770" location="discussion_r921977280" xr:uid="{00000000-0004-0000-0100-000001030000}"/>
    <hyperlink ref="G257" r:id="rId771" location="discussion_r921977280" xr:uid="{00000000-0004-0000-0100-000002030000}"/>
    <hyperlink ref="A258" r:id="rId772" location="issuecomment-1004912593" xr:uid="{00000000-0004-0000-0100-000003030000}"/>
    <hyperlink ref="C258" r:id="rId773" location="issuecomment-1185949928" xr:uid="{00000000-0004-0000-0100-000004030000}"/>
    <hyperlink ref="G258" r:id="rId774" location="issuecomment-1185949928" xr:uid="{00000000-0004-0000-0100-000005030000}"/>
    <hyperlink ref="A259" r:id="rId775" location="issuecomment-1004920865" xr:uid="{00000000-0004-0000-0100-000006030000}"/>
    <hyperlink ref="C259" r:id="rId776" location="issuecomment-1187325320" xr:uid="{00000000-0004-0000-0100-000007030000}"/>
    <hyperlink ref="G259" r:id="rId777" location="issuecomment-1187325320" xr:uid="{00000000-0004-0000-0100-000008030000}"/>
    <hyperlink ref="A260" r:id="rId778" location="discussion_r784065168" xr:uid="{00000000-0004-0000-0100-000009030000}"/>
    <hyperlink ref="C260" r:id="rId779" location="issuecomment-1147935372" xr:uid="{00000000-0004-0000-0100-00000A030000}"/>
    <hyperlink ref="G260" r:id="rId780" location="issuecomment-1147935372" xr:uid="{00000000-0004-0000-0100-00000B030000}"/>
    <hyperlink ref="A261" r:id="rId781" location="discussion_r807925280" xr:uid="{00000000-0004-0000-0100-00000C030000}"/>
    <hyperlink ref="C261" r:id="rId782" location="discussion_r902025727" xr:uid="{00000000-0004-0000-0100-00000D030000}"/>
    <hyperlink ref="G261" r:id="rId783" location="discussion_r902025727" xr:uid="{00000000-0004-0000-0100-00000E030000}"/>
    <hyperlink ref="A262" r:id="rId784" location="issuecomment-1026674714" xr:uid="{00000000-0004-0000-0100-00000F030000}"/>
    <hyperlink ref="C262" r:id="rId785" location="discussion_r889603761" xr:uid="{00000000-0004-0000-0100-000010030000}"/>
    <hyperlink ref="G262" r:id="rId786" location="discussion_r889603761" xr:uid="{00000000-0004-0000-0100-000011030000}"/>
    <hyperlink ref="A263" r:id="rId787" location="discussion_r842892057" xr:uid="{00000000-0004-0000-0100-000012030000}"/>
    <hyperlink ref="C263" r:id="rId788" location="issuecomment-1191480627" xr:uid="{00000000-0004-0000-0100-000013030000}"/>
    <hyperlink ref="G263" r:id="rId789" location="issuecomment-1191480627" xr:uid="{00000000-0004-0000-0100-000014030000}"/>
    <hyperlink ref="A264" r:id="rId790" location="issuecomment-1075108673" xr:uid="{00000000-0004-0000-0100-000015030000}"/>
    <hyperlink ref="C264" r:id="rId791" location="issuecomment-1191482467" xr:uid="{00000000-0004-0000-0100-000016030000}"/>
    <hyperlink ref="G264" r:id="rId792" location="issuecomment-1191482467" xr:uid="{00000000-0004-0000-0100-000017030000}"/>
    <hyperlink ref="A265" r:id="rId793" location="discussion_r820811558" xr:uid="{00000000-0004-0000-0100-000018030000}"/>
    <hyperlink ref="C265" r:id="rId794" location="issuecomment-1196792652" xr:uid="{00000000-0004-0000-0100-000019030000}"/>
    <hyperlink ref="G265" r:id="rId795" location="issuecomment-1196792652" xr:uid="{00000000-0004-0000-0100-00001A030000}"/>
    <hyperlink ref="A266" r:id="rId796" location="issuecomment-1066596746" xr:uid="{00000000-0004-0000-0100-00001B030000}"/>
    <hyperlink ref="C266" r:id="rId797" location="issuecomment-1184570444" xr:uid="{00000000-0004-0000-0100-00001C030000}"/>
    <hyperlink ref="G266" r:id="rId798" location="issuecomment-1184570444" xr:uid="{00000000-0004-0000-0100-00001D030000}"/>
    <hyperlink ref="A267" r:id="rId799" location="discussion_r838791044" xr:uid="{00000000-0004-0000-0100-00001E030000}"/>
    <hyperlink ref="C267" r:id="rId800" location="issuecomment-1184585892" xr:uid="{00000000-0004-0000-0100-00001F030000}"/>
    <hyperlink ref="G267" r:id="rId801" location="issuecomment-1184585892" xr:uid="{00000000-0004-0000-0100-000020030000}"/>
    <hyperlink ref="A268" r:id="rId802" location="discussion_r857226722" xr:uid="{00000000-0004-0000-0100-000021030000}"/>
    <hyperlink ref="C268" r:id="rId803" location="issuecomment-1194626810" xr:uid="{00000000-0004-0000-0100-000022030000}"/>
    <hyperlink ref="G268" r:id="rId804" location="issuecomment-1194626810" xr:uid="{00000000-0004-0000-0100-000023030000}"/>
    <hyperlink ref="A269" r:id="rId805" location="discussion_r842299961" xr:uid="{00000000-0004-0000-0100-000024030000}"/>
    <hyperlink ref="C269" r:id="rId806" location="issuecomment-1195475937" xr:uid="{00000000-0004-0000-0100-000025030000}"/>
    <hyperlink ref="G269" r:id="rId807" location="issuecomment-1195475937" xr:uid="{00000000-0004-0000-0100-000026030000}"/>
    <hyperlink ref="A270" r:id="rId808" location="discussion_r877330203" xr:uid="{00000000-0004-0000-0100-000027030000}"/>
    <hyperlink ref="C270" r:id="rId809" location="issuecomment-1192619108" xr:uid="{00000000-0004-0000-0100-000028030000}"/>
    <hyperlink ref="G270" r:id="rId810" location="issuecomment-1192619108" xr:uid="{00000000-0004-0000-0100-000029030000}"/>
    <hyperlink ref="A271" r:id="rId811" location="discussion_r848878274" xr:uid="{00000000-0004-0000-0100-00002A030000}"/>
    <hyperlink ref="C271" r:id="rId812" location="issuecomment-1194310216" xr:uid="{00000000-0004-0000-0100-00002B030000}"/>
    <hyperlink ref="G271" r:id="rId813" location="issuecomment-1194310216" xr:uid="{00000000-0004-0000-0100-00002C030000}"/>
    <hyperlink ref="A272" r:id="rId814" location="issuecomment-1142183578" xr:uid="{00000000-0004-0000-0100-00002D030000}"/>
    <hyperlink ref="C272" r:id="rId815" location="discussion_r949989262" xr:uid="{00000000-0004-0000-0100-00002E030000}"/>
    <hyperlink ref="G272" r:id="rId816" location="discussion_r949989262" xr:uid="{00000000-0004-0000-0100-00002F030000}"/>
    <hyperlink ref="A273" r:id="rId817" location="issuecomment-1128036138" xr:uid="{00000000-0004-0000-0100-000030030000}"/>
    <hyperlink ref="C273" r:id="rId818" location="issuecomment-1244930705" xr:uid="{00000000-0004-0000-0100-000031030000}"/>
    <hyperlink ref="G273" r:id="rId819" location="issuecomment-1244930705" xr:uid="{00000000-0004-0000-0100-000032030000}"/>
    <hyperlink ref="A274" r:id="rId820" location="issuecomment-1128167602" xr:uid="{00000000-0004-0000-0100-000033030000}"/>
    <hyperlink ref="C274" r:id="rId821" location="issuecomment-1224500795" xr:uid="{00000000-0004-0000-0100-000034030000}"/>
    <hyperlink ref="G274" r:id="rId822" location="issuecomment-1224500795" xr:uid="{00000000-0004-0000-0100-000035030000}"/>
    <hyperlink ref="A275" r:id="rId823" location="issuecomment-1126159948" xr:uid="{00000000-0004-0000-0100-000036030000}"/>
    <hyperlink ref="C275" r:id="rId824" location="issuecomment-1230715670" xr:uid="{00000000-0004-0000-0100-000037030000}"/>
    <hyperlink ref="G275" r:id="rId825" location="issuecomment-1230715670" xr:uid="{00000000-0004-0000-0100-000038030000}"/>
    <hyperlink ref="A276" r:id="rId826" location="discussion_r870062272" xr:uid="{00000000-0004-0000-0100-000039030000}"/>
    <hyperlink ref="C276" r:id="rId827" location="issuecomment-1209889538" xr:uid="{00000000-0004-0000-0100-00003A030000}"/>
    <hyperlink ref="G276" r:id="rId828" location="issuecomment-1209889538" xr:uid="{00000000-0004-0000-0100-00003B030000}"/>
    <hyperlink ref="A277" r:id="rId829" location="issuecomment-1137141845" xr:uid="{00000000-0004-0000-0100-00003C030000}"/>
    <hyperlink ref="C277" r:id="rId830" location="issuecomment-1209892350" xr:uid="{00000000-0004-0000-0100-00003D030000}"/>
    <hyperlink ref="G277" r:id="rId831" location="issuecomment-1209892350" xr:uid="{00000000-0004-0000-0100-00003E030000}"/>
    <hyperlink ref="A278" r:id="rId832" location="issuecomment-1128161665" xr:uid="{00000000-0004-0000-0100-00003F030000}"/>
    <hyperlink ref="C278" r:id="rId833" location="issuecomment-1228712092" xr:uid="{00000000-0004-0000-0100-000040030000}"/>
    <hyperlink ref="G278" r:id="rId834" location="issuecomment-1228712092" xr:uid="{00000000-0004-0000-0100-000041030000}"/>
    <hyperlink ref="A279" r:id="rId835" location="issuecomment-1130487309" xr:uid="{00000000-0004-0000-0100-000042030000}"/>
    <hyperlink ref="C279" r:id="rId836" location="issuecomment-1216415091" xr:uid="{00000000-0004-0000-0100-000043030000}"/>
    <hyperlink ref="G279" r:id="rId837" location="issuecomment-1216415091" xr:uid="{00000000-0004-0000-0100-000044030000}"/>
    <hyperlink ref="A280" r:id="rId838" location="issuecomment-1144002961" xr:uid="{00000000-0004-0000-0100-000045030000}"/>
    <hyperlink ref="C280" r:id="rId839" location="issuecomment-1215832526" xr:uid="{00000000-0004-0000-0100-000046030000}"/>
    <hyperlink ref="G280" r:id="rId840" location="issuecomment-1215832526" xr:uid="{00000000-0004-0000-0100-000047030000}"/>
    <hyperlink ref="A281" r:id="rId841" location="issuecomment-1135152219" xr:uid="{00000000-0004-0000-0100-000048030000}"/>
    <hyperlink ref="C281" r:id="rId842" location="issuecomment-1242158688" xr:uid="{00000000-0004-0000-0100-000049030000}"/>
    <hyperlink ref="G281" r:id="rId843" location="issuecomment-1242158688" xr:uid="{00000000-0004-0000-0100-00004A030000}"/>
    <hyperlink ref="A282" r:id="rId844" location="issuecomment-1125506624" xr:uid="{00000000-0004-0000-0100-00004B030000}"/>
    <hyperlink ref="C282" r:id="rId845" location="issuecomment-1248920649" xr:uid="{00000000-0004-0000-0100-00004C030000}"/>
    <hyperlink ref="G282" r:id="rId846" location="issuecomment-1248920649" xr:uid="{00000000-0004-0000-0100-00004D030000}"/>
    <hyperlink ref="A283" r:id="rId847" location="issuecomment-1126018662" xr:uid="{00000000-0004-0000-0100-00004E030000}"/>
    <hyperlink ref="C283" r:id="rId848" location="discussion_r970362124" xr:uid="{00000000-0004-0000-0100-00004F030000}"/>
    <hyperlink ref="G283" r:id="rId849" location="discussion_r970362124" xr:uid="{00000000-0004-0000-0100-000050030000}"/>
    <hyperlink ref="A284" r:id="rId850" location="issuecomment-1127888784" xr:uid="{00000000-0004-0000-0100-000051030000}"/>
    <hyperlink ref="C284" r:id="rId851" location="issuecomment-1241109917" xr:uid="{00000000-0004-0000-0100-000052030000}"/>
    <hyperlink ref="G284" r:id="rId852" location="issuecomment-1241109917" xr:uid="{00000000-0004-0000-0100-000053030000}"/>
    <hyperlink ref="A285" r:id="rId853" location="issuecomment-1149608974" xr:uid="{00000000-0004-0000-0100-000054030000}"/>
    <hyperlink ref="C285" r:id="rId854" location="issuecomment-1242259347" xr:uid="{00000000-0004-0000-0100-000055030000}"/>
    <hyperlink ref="G285" r:id="rId855" location="issuecomment-1242259347" xr:uid="{00000000-0004-0000-0100-000056030000}"/>
    <hyperlink ref="A286" r:id="rId856" location="issuecomment-1152400891" xr:uid="{00000000-0004-0000-0100-000057030000}"/>
    <hyperlink ref="C286" r:id="rId857" location="issuecomment-1269341227" xr:uid="{00000000-0004-0000-0100-000058030000}"/>
    <hyperlink ref="G286" r:id="rId858" location="issuecomment-1269341227" xr:uid="{00000000-0004-0000-0100-000059030000}"/>
    <hyperlink ref="A287" r:id="rId859" location="discussion_r921977280" xr:uid="{00000000-0004-0000-0100-00005A030000}"/>
    <hyperlink ref="C287" r:id="rId860" location="discussion_r983726151" xr:uid="{00000000-0004-0000-0100-00005B030000}"/>
    <hyperlink ref="G287" r:id="rId861" location="discussion_r983726151" xr:uid="{00000000-0004-0000-0100-00005C030000}"/>
    <hyperlink ref="A288" r:id="rId862" location="issuecomment-1185949928" xr:uid="{00000000-0004-0000-0100-00005D030000}"/>
    <hyperlink ref="C288" r:id="rId863" location="discussion_r983737173" xr:uid="{00000000-0004-0000-0100-00005E030000}"/>
    <hyperlink ref="G288" r:id="rId864" location="discussion_r983737173" xr:uid="{00000000-0004-0000-0100-00005F030000}"/>
    <hyperlink ref="A289" r:id="rId865" location="issuecomment-1187325320" xr:uid="{00000000-0004-0000-0100-000060030000}"/>
    <hyperlink ref="C289" r:id="rId866" location="issuecomment-1279388288" xr:uid="{00000000-0004-0000-0100-000061030000}"/>
    <hyperlink ref="G289" r:id="rId867" location="issuecomment-1279388288" xr:uid="{00000000-0004-0000-0100-000062030000}"/>
    <hyperlink ref="A290" r:id="rId868" location="issuecomment-1147935372" xr:uid="{00000000-0004-0000-0100-000063030000}"/>
    <hyperlink ref="C290" r:id="rId869" location="issuecomment-1279399748" xr:uid="{00000000-0004-0000-0100-000064030000}"/>
    <hyperlink ref="G290" r:id="rId870" location="issuecomment-1279399748" xr:uid="{00000000-0004-0000-0100-000065030000}"/>
    <hyperlink ref="A291" r:id="rId871" location="discussion_r902025727" xr:uid="{00000000-0004-0000-0100-000066030000}"/>
    <hyperlink ref="C291" r:id="rId872" location="issuecomment-1291473303" xr:uid="{00000000-0004-0000-0100-000067030000}"/>
    <hyperlink ref="G291" r:id="rId873" location="issuecomment-1291473303" xr:uid="{00000000-0004-0000-0100-000068030000}"/>
    <hyperlink ref="A292" r:id="rId874" location="discussion_r889603761" xr:uid="{00000000-0004-0000-0100-000069030000}"/>
    <hyperlink ref="C292" r:id="rId875" location="discussion_r1037213727" xr:uid="{00000000-0004-0000-0100-00006A030000}"/>
    <hyperlink ref="G292" r:id="rId876" location="discussion_r1037213727" xr:uid="{00000000-0004-0000-0100-00006B030000}"/>
    <hyperlink ref="A293" r:id="rId877" location="issuecomment-1191480627" xr:uid="{00000000-0004-0000-0100-00006C030000}"/>
    <hyperlink ref="C293" r:id="rId878" location="issuecomment-1286822344" xr:uid="{00000000-0004-0000-0100-00006D030000}"/>
    <hyperlink ref="G293" r:id="rId879" location="issuecomment-1286822344" xr:uid="{00000000-0004-0000-0100-00006E030000}"/>
    <hyperlink ref="A294" r:id="rId880" location="issuecomment-1191482467" xr:uid="{00000000-0004-0000-0100-00006F030000}"/>
    <hyperlink ref="C294" r:id="rId881" location="issuecomment-1285849085" xr:uid="{00000000-0004-0000-0100-000070030000}"/>
    <hyperlink ref="G294" r:id="rId882" location="issuecomment-1285849085" xr:uid="{00000000-0004-0000-0100-000071030000}"/>
    <hyperlink ref="A295" r:id="rId883" location="issuecomment-1196792652" xr:uid="{00000000-0004-0000-0100-000072030000}"/>
    <hyperlink ref="C295" r:id="rId884" location="discussion_r1036121644" xr:uid="{00000000-0004-0000-0100-000073030000}"/>
    <hyperlink ref="G295" r:id="rId885" location="discussion_r1036121644" xr:uid="{00000000-0004-0000-0100-000074030000}"/>
    <hyperlink ref="A296" r:id="rId886" location="issuecomment-1184570444" xr:uid="{00000000-0004-0000-0100-000075030000}"/>
    <hyperlink ref="C296" r:id="rId887" location="discussion_r1034190905" xr:uid="{00000000-0004-0000-0100-000076030000}"/>
    <hyperlink ref="G296" r:id="rId888" location="discussion_r1034190905" xr:uid="{00000000-0004-0000-0100-000077030000}"/>
    <hyperlink ref="A297" r:id="rId889" location="issuecomment-1184585892" xr:uid="{00000000-0004-0000-0100-000078030000}"/>
    <hyperlink ref="C297" r:id="rId890" location="discussion_r1045712585" xr:uid="{00000000-0004-0000-0100-000079030000}"/>
    <hyperlink ref="G297" r:id="rId891" location="discussion_r1045712585" xr:uid="{00000000-0004-0000-0100-00007A030000}"/>
    <hyperlink ref="A298" r:id="rId892" location="issuecomment-1194626810" xr:uid="{00000000-0004-0000-0100-00007B030000}"/>
    <hyperlink ref="C298" r:id="rId893" location="issuecomment-1326875286" xr:uid="{00000000-0004-0000-0100-00007C030000}"/>
    <hyperlink ref="G298" r:id="rId894" location="issuecomment-1326875286" xr:uid="{00000000-0004-0000-0100-00007D030000}"/>
    <hyperlink ref="A299" r:id="rId895" location="issuecomment-1195475937" xr:uid="{00000000-0004-0000-0100-00007E030000}"/>
    <hyperlink ref="C299" r:id="rId896" location="discussion_r1034043175" xr:uid="{00000000-0004-0000-0100-00007F030000}"/>
    <hyperlink ref="G299" r:id="rId897" location="discussion_r1034043175" xr:uid="{00000000-0004-0000-0100-000080030000}"/>
    <hyperlink ref="A300" r:id="rId898" location="issuecomment-1192619108" xr:uid="{00000000-0004-0000-0100-000081030000}"/>
    <hyperlink ref="C300" r:id="rId899" location="discussion_r1034925705" xr:uid="{00000000-0004-0000-0100-000082030000}"/>
    <hyperlink ref="G300" r:id="rId900" location="discussion_r1034925705" xr:uid="{00000000-0004-0000-0100-000083030000}"/>
    <hyperlink ref="A301" r:id="rId901" location="issuecomment-1194310216" xr:uid="{00000000-0004-0000-0100-000084030000}"/>
    <hyperlink ref="C301" r:id="rId902" location="discussion_r1016940226" xr:uid="{00000000-0004-0000-0100-000085030000}"/>
    <hyperlink ref="G301" r:id="rId903" location="discussion_r1016940226" xr:uid="{00000000-0004-0000-0100-000086030000}"/>
    <hyperlink ref="A302" r:id="rId904" location="discussion_r949989262" xr:uid="{00000000-0004-0000-0100-000087030000}"/>
    <hyperlink ref="C302" r:id="rId905" location="issuecomment-1308808154" xr:uid="{00000000-0004-0000-0100-000088030000}"/>
    <hyperlink ref="G302" r:id="rId906" location="issuecomment-1308808154" xr:uid="{00000000-0004-0000-0100-000089030000}"/>
    <hyperlink ref="A303" r:id="rId907" location="issuecomment-1244930705" xr:uid="{00000000-0004-0000-0100-00008A030000}"/>
    <hyperlink ref="C303" r:id="rId908" location="discussion_r1037122436" xr:uid="{00000000-0004-0000-0100-00008B030000}"/>
    <hyperlink ref="G303" r:id="rId909" location="discussion_r1037122436" xr:uid="{00000000-0004-0000-0100-00008C030000}"/>
    <hyperlink ref="A304" r:id="rId910" location="issuecomment-1224500795" xr:uid="{00000000-0004-0000-0100-00008D030000}"/>
    <hyperlink ref="C304" r:id="rId911" location="issuecomment-1339101503" xr:uid="{00000000-0004-0000-0100-00008E030000}"/>
    <hyperlink ref="G304" r:id="rId912" location="issuecomment-1339101503" xr:uid="{00000000-0004-0000-0100-00008F030000}"/>
    <hyperlink ref="A305" r:id="rId913" location="issuecomment-1230715670" xr:uid="{00000000-0004-0000-0100-000090030000}"/>
    <hyperlink ref="C305" r:id="rId914" location="issuecomment-1361050002" xr:uid="{00000000-0004-0000-0100-000091030000}"/>
    <hyperlink ref="G305" r:id="rId915" location="issuecomment-1361050002" xr:uid="{00000000-0004-0000-0100-000092030000}"/>
    <hyperlink ref="A306" r:id="rId916" location="issuecomment-1209889538" xr:uid="{00000000-0004-0000-0100-000093030000}"/>
    <hyperlink ref="C306" r:id="rId917" location="discussion_r1050858002" xr:uid="{00000000-0004-0000-0100-000094030000}"/>
    <hyperlink ref="G306" r:id="rId918" location="discussion_r1050858002" xr:uid="{00000000-0004-0000-0100-000095030000}"/>
    <hyperlink ref="A307" r:id="rId919" location="issuecomment-1209892350" xr:uid="{00000000-0004-0000-0100-000096030000}"/>
    <hyperlink ref="C307" r:id="rId920" location="issuecomment-1357892871" xr:uid="{00000000-0004-0000-0100-000097030000}"/>
    <hyperlink ref="G307" r:id="rId921" location="issuecomment-1357892871" xr:uid="{00000000-0004-0000-0100-000098030000}"/>
    <hyperlink ref="A308" r:id="rId922" location="issuecomment-1228712092" xr:uid="{00000000-0004-0000-0100-000099030000}"/>
    <hyperlink ref="C308" r:id="rId923" location="issuecomment-1358114979" xr:uid="{00000000-0004-0000-0100-00009A030000}"/>
    <hyperlink ref="G308" r:id="rId924" location="issuecomment-1358114979" xr:uid="{00000000-0004-0000-0100-00009B030000}"/>
    <hyperlink ref="A309" r:id="rId925" location="issuecomment-1216415091" xr:uid="{00000000-0004-0000-0100-00009C030000}"/>
    <hyperlink ref="C309" r:id="rId926" location="discussion_r602729163" xr:uid="{00000000-0004-0000-0100-00009D030000}"/>
    <hyperlink ref="G309" r:id="rId927" location="issuecomment-2670908811" xr:uid="{00000000-0004-0000-0100-00009E030000}"/>
    <hyperlink ref="A310" r:id="rId928" location="issuecomment-1215832526" xr:uid="{00000000-0004-0000-0100-00009F030000}"/>
    <hyperlink ref="C310" r:id="rId929" location="issuecomment-818063376" xr:uid="{00000000-0004-0000-0100-0000A0030000}"/>
    <hyperlink ref="G310" r:id="rId930" location="issuecomment-2668874799" xr:uid="{00000000-0004-0000-0100-0000A1030000}"/>
    <hyperlink ref="A311" r:id="rId931" location="issuecomment-1257712016" xr:uid="{00000000-0004-0000-0100-0000A2030000}"/>
    <hyperlink ref="C311" r:id="rId932" location="issuecomment-850596423" xr:uid="{00000000-0004-0000-0100-0000A3030000}"/>
    <hyperlink ref="G311" r:id="rId933" location="discussion_r1974730734" xr:uid="{00000000-0004-0000-0100-0000A4030000}"/>
    <hyperlink ref="A312" r:id="rId934" location="issuecomment-1215832526" xr:uid="{00000000-0004-0000-0100-0000A5030000}"/>
    <hyperlink ref="C312" r:id="rId935" location="issuecomment-850776321" xr:uid="{00000000-0004-0000-0100-0000A6030000}"/>
    <hyperlink ref="G312" r:id="rId936" location="issuecomment-2738116384" xr:uid="{00000000-0004-0000-0100-0000A7030000}"/>
    <hyperlink ref="A313" r:id="rId937" location="issuecomment-1242158688" xr:uid="{00000000-0004-0000-0100-0000A8030000}"/>
    <hyperlink ref="C313" r:id="rId938" location="issuecomment-870014559" xr:uid="{00000000-0004-0000-0100-0000A9030000}"/>
    <hyperlink ref="G313" r:id="rId939" location="issuecomment-2750462330" xr:uid="{00000000-0004-0000-0100-0000AA030000}"/>
    <hyperlink ref="A314" r:id="rId940" location="issuecomment-1248920649" xr:uid="{00000000-0004-0000-0100-0000AB030000}"/>
    <hyperlink ref="C314" r:id="rId941" location="issuecomment-849190817" xr:uid="{00000000-0004-0000-0100-0000AC030000}"/>
    <hyperlink ref="G314" r:id="rId942" location="issuecomment-2730449028" xr:uid="{00000000-0004-0000-0100-0000AD030000}"/>
    <hyperlink ref="A315" r:id="rId943" location="discussion_r970362124" xr:uid="{00000000-0004-0000-0100-0000AE030000}"/>
    <hyperlink ref="C315" r:id="rId944" location="issuecomment-966653132" xr:uid="{00000000-0004-0000-0100-0000AF030000}"/>
    <hyperlink ref="G315" r:id="rId945" location="discussion_r2006483914" xr:uid="{00000000-0004-0000-0100-0000B0030000}"/>
    <hyperlink ref="A316" r:id="rId946" location="issuecomment-1241109917" xr:uid="{00000000-0004-0000-0100-0000B1030000}"/>
    <hyperlink ref="C316" r:id="rId947" location="issuecomment-966699322" xr:uid="{00000000-0004-0000-0100-0000B2030000}"/>
    <hyperlink ref="G316" r:id="rId948" location="discussion_r2008301713" xr:uid="{00000000-0004-0000-0100-0000B3030000}"/>
    <hyperlink ref="A317" r:id="rId949" location="issuecomment-1242259347" xr:uid="{00000000-0004-0000-0100-0000B4030000}"/>
    <hyperlink ref="C317" r:id="rId950" location="discussion_r784963783" xr:uid="{00000000-0004-0000-0100-0000B5030000}"/>
    <hyperlink ref="G317" r:id="rId951" location="discussion_r1977424201" xr:uid="{00000000-0004-0000-0100-0000B6030000}"/>
    <hyperlink ref="A318" r:id="rId952" location="issuecomment-1269341227" xr:uid="{00000000-0004-0000-0100-0000B7030000}"/>
    <hyperlink ref="C318" r:id="rId953" location="discussion_r787954027" xr:uid="{00000000-0004-0000-0100-0000B8030000}"/>
    <hyperlink ref="G318" r:id="rId954" location="issuecomment-2703653274" xr:uid="{00000000-0004-0000-0100-0000B9030000}"/>
    <hyperlink ref="A319" r:id="rId955" location="discussion_r983726151" xr:uid="{00000000-0004-0000-0100-0000BA030000}"/>
    <hyperlink ref="C319" r:id="rId956" location="issuecomment-1246339422" xr:uid="{00000000-0004-0000-0100-0000BB030000}"/>
    <hyperlink ref="G319" r:id="rId957" location="issuecomment-2693948041" xr:uid="{00000000-0004-0000-0100-0000BC030000}"/>
    <hyperlink ref="A320" r:id="rId958" location="discussion_r983737173" xr:uid="{00000000-0004-0000-0100-0000BD030000}"/>
    <hyperlink ref="C320" r:id="rId959" location="discussion_r836569925" xr:uid="{00000000-0004-0000-0100-0000BE030000}"/>
    <hyperlink ref="G320" r:id="rId960" location="issuecomment-2795597092" xr:uid="{00000000-0004-0000-0100-0000BF030000}"/>
    <hyperlink ref="A321" r:id="rId961" location="issuecomment-1279388288" xr:uid="{00000000-0004-0000-0100-0000C0030000}"/>
    <hyperlink ref="C321" r:id="rId962" location="issuecomment-1120316930" xr:uid="{00000000-0004-0000-0100-0000C1030000}"/>
    <hyperlink ref="G321" r:id="rId963" location="discussion_r2049478574" xr:uid="{00000000-0004-0000-0100-0000C2030000}"/>
    <hyperlink ref="A322" r:id="rId964" location="issuecomment-1279399748" xr:uid="{00000000-0004-0000-0100-0000C3030000}"/>
    <hyperlink ref="C322" r:id="rId965" location="issuecomment-1148346047" xr:uid="{00000000-0004-0000-0100-0000C4030000}"/>
    <hyperlink ref="G322" r:id="rId966" location="issuecomment-2888992525" xr:uid="{00000000-0004-0000-0100-0000C5030000}"/>
    <hyperlink ref="A323" r:id="rId967" location="issuecomment-1291473303" xr:uid="{00000000-0004-0000-0100-0000C6030000}"/>
    <hyperlink ref="C323" r:id="rId968" location="issuecomment-1261199307" xr:uid="{00000000-0004-0000-0100-0000C7030000}"/>
    <hyperlink ref="G323" r:id="rId969" location="issuecomment-2889053424" xr:uid="{00000000-0004-0000-0100-0000C8030000}"/>
    <hyperlink ref="A324" r:id="rId970" location="discussion_r1037213727" xr:uid="{00000000-0004-0000-0100-0000C9030000}"/>
    <hyperlink ref="C324" r:id="rId971" location="issuecomment-1261201874" xr:uid="{00000000-0004-0000-0100-0000CA030000}"/>
    <hyperlink ref="G324" r:id="rId972" location="issuecomment-2889218109" xr:uid="{00000000-0004-0000-0100-0000CB030000}"/>
    <hyperlink ref="A325" r:id="rId973" location="issuecomment-1286822344" xr:uid="{00000000-0004-0000-0100-0000CC030000}"/>
    <hyperlink ref="C325" r:id="rId974" location="discussion_r1234043008" xr:uid="{00000000-0004-0000-0100-0000CD030000}"/>
    <hyperlink ref="G325" r:id="rId975" location="issuecomment-2884484097" xr:uid="{00000000-0004-0000-0100-0000CE030000}"/>
    <hyperlink ref="A326" r:id="rId976" location="issuecomment-1285849085" xr:uid="{00000000-0004-0000-0100-0000CF030000}"/>
    <hyperlink ref="C326" r:id="rId977" location="issuecomment-1986490667" xr:uid="{00000000-0004-0000-0100-0000D0030000}"/>
    <hyperlink ref="G326" r:id="rId978" location="discussion_r2096028845" xr:uid="{00000000-0004-0000-0100-0000D1030000}"/>
    <hyperlink ref="A327" r:id="rId979" location="discussion_r1036121644" xr:uid="{00000000-0004-0000-0100-0000D2030000}"/>
    <hyperlink ref="C327" r:id="rId980" location="issuecomment-1638520839" xr:uid="{00000000-0004-0000-0100-0000D3030000}"/>
    <hyperlink ref="G327" r:id="rId981" location="discussion_r2098766914" xr:uid="{00000000-0004-0000-0100-0000D4030000}"/>
    <hyperlink ref="A328" r:id="rId982" location="discussion_r1034190905" xr:uid="{00000000-0004-0000-0100-0000D5030000}"/>
    <hyperlink ref="C328" r:id="rId983" location="issuecomment-1824354502" xr:uid="{00000000-0004-0000-0100-0000D6030000}"/>
    <hyperlink ref="G328" r:id="rId984" location="discussion_r2103548556" xr:uid="{00000000-0004-0000-0100-0000D7030000}"/>
    <hyperlink ref="A329" r:id="rId985" location="discussion_r1045712585" xr:uid="{00000000-0004-0000-0100-0000D8030000}"/>
    <hyperlink ref="C329" r:id="rId986" location="discussion_r1455741535" xr:uid="{00000000-0004-0000-0100-0000D9030000}"/>
    <hyperlink ref="G329" r:id="rId987" location="issuecomment-2887722760" xr:uid="{00000000-0004-0000-0100-0000DA030000}"/>
    <hyperlink ref="A330" r:id="rId988" location="issuecomment-1326875286" xr:uid="{00000000-0004-0000-0100-0000DB030000}"/>
    <hyperlink ref="C330" r:id="rId989" location="discussion_r1608891107" xr:uid="{00000000-0004-0000-0100-0000DC030000}"/>
    <hyperlink ref="G330" r:id="rId990" location="issuecomment-3004356312" xr:uid="{00000000-0004-0000-0100-0000DD030000}"/>
    <hyperlink ref="A331" r:id="rId991" location="discussion_r1034043175" xr:uid="{00000000-0004-0000-0100-0000DE030000}"/>
    <hyperlink ref="C331" r:id="rId992" location="discussion_r1717040579" xr:uid="{00000000-0004-0000-0100-0000DF030000}"/>
    <hyperlink ref="G331" r:id="rId993" location="discussion_r2150341785" xr:uid="{00000000-0004-0000-0100-0000E0030000}"/>
    <hyperlink ref="A332" r:id="rId994" location="discussion_r1034925705" xr:uid="{00000000-0004-0000-0100-0000E1030000}"/>
    <hyperlink ref="C332" r:id="rId995" location="issuecomment-2329949783" xr:uid="{00000000-0004-0000-0100-0000E2030000}"/>
    <hyperlink ref="G332" r:id="rId996" location="discussion_r2157012512" xr:uid="{00000000-0004-0000-0100-0000E3030000}"/>
    <hyperlink ref="A333" r:id="rId997" location="discussion_r1016940226" xr:uid="{00000000-0004-0000-0100-0000E4030000}"/>
    <hyperlink ref="C333" r:id="rId998" location="issuecomment-2402654032" xr:uid="{00000000-0004-0000-0100-0000E5030000}"/>
    <hyperlink ref="G333" r:id="rId999" location="issuecomment-3134461611" xr:uid="{00000000-0004-0000-0100-0000E6030000}"/>
    <hyperlink ref="A334" r:id="rId1000" location="issuecomment-1308808154" xr:uid="{00000000-0004-0000-0100-0000E7030000}"/>
    <hyperlink ref="C334" r:id="rId1001" location="discussion_r1841150927" xr:uid="{00000000-0004-0000-0100-0000E8030000}"/>
    <hyperlink ref="G334" r:id="rId1002" location="issuecomment-3050388713" xr:uid="{00000000-0004-0000-0100-0000E9030000}"/>
    <hyperlink ref="A335" r:id="rId1003" location="discussion_r1037122436" xr:uid="{00000000-0004-0000-0100-0000EA030000}"/>
    <hyperlink ref="C335" r:id="rId1004" location="issuecomment-2569139239" xr:uid="{00000000-0004-0000-0100-0000EB030000}"/>
    <hyperlink ref="G335" r:id="rId1005" location="discussion_r2226684249" xr:uid="{00000000-0004-0000-0100-0000EC030000}"/>
    <hyperlink ref="A336" r:id="rId1006" location="issuecomment-1339101503" xr:uid="{00000000-0004-0000-0100-0000ED030000}"/>
    <hyperlink ref="G336" r:id="rId1007" location="issuecomment-3037435884" xr:uid="{00000000-0004-0000-0100-0000EE030000}"/>
    <hyperlink ref="A337" r:id="rId1008" location="issuecomment-1361050002" xr:uid="{00000000-0004-0000-0100-0000EF030000}"/>
    <hyperlink ref="G337" r:id="rId1009" location="issuecomment-3104643517" xr:uid="{00000000-0004-0000-0100-0000F0030000}"/>
    <hyperlink ref="A338" r:id="rId1010" location="discussion_r1050858002" xr:uid="{00000000-0004-0000-0100-0000F1030000}"/>
    <hyperlink ref="G338" r:id="rId1011" location="discussion_r2294739847" xr:uid="{00000000-0004-0000-0100-0000F2030000}"/>
    <hyperlink ref="A339" r:id="rId1012" location="issuecomment-1357892871" xr:uid="{00000000-0004-0000-0100-0000F3030000}"/>
    <hyperlink ref="G339" r:id="rId1013" location="discussion_r2279534507" xr:uid="{00000000-0004-0000-0100-0000F4030000}"/>
    <hyperlink ref="A340" r:id="rId1014" location="issuecomment-1358114979" xr:uid="{00000000-0004-0000-0100-0000F5030000}"/>
    <hyperlink ref="G340" r:id="rId1015" location="discussion_r2380229424" xr:uid="{00000000-0004-0000-0100-0000F6030000}"/>
    <hyperlink ref="G341" r:id="rId1016" location="issuecomment-3314117225" xr:uid="{00000000-0004-0000-0100-0000F7030000}"/>
    <hyperlink ref="G342" r:id="rId1017" location="issuecomment-3274242189" xr:uid="{00000000-0004-0000-0100-0000F8030000}"/>
    <hyperlink ref="G343" r:id="rId1018" location="discussion_r2349918819" xr:uid="{00000000-0004-0000-0100-0000F9030000}"/>
    <hyperlink ref="G344" r:id="rId1019" location="discussion_r2353846205" xr:uid="{00000000-0004-0000-0100-0000FA03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5"/>
  <sheetViews>
    <sheetView workbookViewId="0"/>
  </sheetViews>
  <sheetFormatPr baseColWidth="10" defaultColWidth="12.6640625" defaultRowHeight="15.75" customHeight="1"/>
  <cols>
    <col min="1" max="1" width="84.1640625" customWidth="1"/>
    <col min="2" max="2" width="31.83203125" customWidth="1"/>
  </cols>
  <sheetData>
    <row r="1" spans="1:2" ht="15.75" customHeight="1">
      <c r="A1" s="7" t="s">
        <v>413</v>
      </c>
      <c r="B1" s="2" t="s">
        <v>414</v>
      </c>
    </row>
    <row r="2" spans="1:2" ht="15.75" customHeight="1">
      <c r="A2" s="8" t="s">
        <v>2</v>
      </c>
      <c r="B2" s="2" t="str">
        <f>IF(A2=Label!A2,Label!B2,"not yet")</f>
        <v>Focus Does Not Work</v>
      </c>
    </row>
    <row r="3" spans="1:2" ht="15.75" customHeight="1">
      <c r="A3" s="9" t="s">
        <v>4</v>
      </c>
      <c r="B3" s="2" t="str">
        <f>IF(A3=Label!A3,Label!B3,"not yet")</f>
        <v>OutOfScope: Duplicates</v>
      </c>
    </row>
    <row r="4" spans="1:2" ht="15.75" customHeight="1">
      <c r="A4" s="9" t="s">
        <v>6</v>
      </c>
      <c r="B4" s="2" t="str">
        <f>IF(A4=Label!A4,Label!B4,"not yet")</f>
        <v>Size of Page/Header Changed</v>
      </c>
    </row>
    <row r="5" spans="1:2" ht="15.75" customHeight="1">
      <c r="A5" s="9" t="s">
        <v>8</v>
      </c>
      <c r="B5" s="2" t="str">
        <f>IF(A5=Label!A5,Label!B5,"not yet")</f>
        <v>OutOfScope: Cannot access</v>
      </c>
    </row>
    <row r="6" spans="1:2" ht="15.75" customHeight="1">
      <c r="A6" s="9" t="s">
        <v>10</v>
      </c>
      <c r="B6" s="2" t="str">
        <f>IF(A6=Label!A6,Label!B6,"not yet")</f>
        <v>Text Size Changed</v>
      </c>
    </row>
    <row r="7" spans="1:2" ht="15.75" customHeight="1">
      <c r="A7" s="9" t="s">
        <v>12</v>
      </c>
      <c r="B7" s="2" t="str">
        <f>IF(A7=Label!A7,Label!B7,"not yet")</f>
        <v>OutOfScope: Duplicates</v>
      </c>
    </row>
    <row r="8" spans="1:2" ht="15.75" customHeight="1">
      <c r="A8" s="9" t="s">
        <v>13</v>
      </c>
      <c r="B8" s="2" t="str">
        <f>IF(A8=Label!A8,Label!B8,"not yet")</f>
        <v>Layout Shifted</v>
      </c>
    </row>
    <row r="9" spans="1:2" ht="15.75" customHeight="1">
      <c r="A9" s="9" t="s">
        <v>15</v>
      </c>
      <c r="B9" s="2" t="str">
        <f>IF(A9=Label!A9,Label!B9,"not yet")</f>
        <v>OutOfScope: Duplicates</v>
      </c>
    </row>
    <row r="10" spans="1:2" ht="15.75" customHeight="1">
      <c r="A10" s="9" t="s">
        <v>16</v>
      </c>
      <c r="B10" s="2" t="str">
        <f>IF(A10=Label!A10,Label!B10,"not yet")</f>
        <v>OutOfScope: Duplicates</v>
      </c>
    </row>
    <row r="11" spans="1:2" ht="15.75" customHeight="1">
      <c r="A11" s="9" t="s">
        <v>17</v>
      </c>
      <c r="B11" s="2" t="str">
        <f>IF(A11=Label!A11,Label!B11,"not yet")</f>
        <v>Border Disappeared</v>
      </c>
    </row>
    <row r="12" spans="1:2" ht="15.75" customHeight="1">
      <c r="A12" s="9" t="s">
        <v>19</v>
      </c>
      <c r="B12" s="2" t="str">
        <f>IF(A12=Label!A12,Label!B12,"not yet")</f>
        <v>OutOfScope: New Story</v>
      </c>
    </row>
    <row r="13" spans="1:2" ht="15.75" customHeight="1">
      <c r="A13" s="9" t="s">
        <v>21</v>
      </c>
      <c r="B13" s="2" t="str">
        <f>IF(A13=Label!A13,Label!B13,"not yet")</f>
        <v>Image Replaced</v>
      </c>
    </row>
    <row r="14" spans="1:2" ht="15.75" customHeight="1">
      <c r="A14" s="9" t="s">
        <v>24</v>
      </c>
      <c r="B14" s="2" t="str">
        <f>IF(A14=Label!A14,Label!B14,"not yet")</f>
        <v>OutOfScope: Duplicates</v>
      </c>
    </row>
    <row r="15" spans="1:2" ht="15.75" customHeight="1">
      <c r="A15" s="9" t="s">
        <v>25</v>
      </c>
      <c r="B15" s="2" t="str">
        <f>IF(A15=Label!A15,Label!B15,"not yet")</f>
        <v>Text Disappeared</v>
      </c>
    </row>
    <row r="16" spans="1:2" ht="15.75" customHeight="1">
      <c r="A16" s="9" t="s">
        <v>28</v>
      </c>
      <c r="B16" s="2" t="str">
        <f>IF(A16=Label!A16,Label!B16,"not yet")</f>
        <v>Layout Shifted</v>
      </c>
    </row>
    <row r="17" spans="1:2" ht="15.75" customHeight="1">
      <c r="A17" s="9" t="s">
        <v>29</v>
      </c>
      <c r="B17" s="2" t="str">
        <f>IF(A17=Label!A17,Label!B17,"not yet")</f>
        <v>OutOfScope: Duplicates</v>
      </c>
    </row>
    <row r="18" spans="1:2" ht="15.75" customHeight="1">
      <c r="A18" s="9" t="s">
        <v>30</v>
      </c>
      <c r="B18" s="2" t="str">
        <f>IF(A18=Label!A18,Label!B18,"not yet")</f>
        <v>Undefined/Wrong State is Shown</v>
      </c>
    </row>
    <row r="19" spans="1:2" ht="15.75" customHeight="1">
      <c r="A19" s="9" t="s">
        <v>32</v>
      </c>
      <c r="B19" s="2" t="str">
        <f>IF(A19=Label!A19,Label!B19,"not yet")</f>
        <v>OutOfScope: New Story</v>
      </c>
    </row>
    <row r="20" spans="1:2" ht="15.75" customHeight="1">
      <c r="A20" s="9" t="s">
        <v>33</v>
      </c>
      <c r="B20" s="2" t="str">
        <f>IF(A20=Label!A20,Label!B20,"not yet")</f>
        <v>Default State is Changed</v>
      </c>
    </row>
    <row r="21" spans="1:2" ht="15.75" customHeight="1">
      <c r="A21" s="9" t="s">
        <v>35</v>
      </c>
      <c r="B21" s="2" t="str">
        <f>IF(A21=Label!A21,Label!B21,"not yet")</f>
        <v>OutOfScope: New Story</v>
      </c>
    </row>
    <row r="22" spans="1:2" ht="15.75" customHeight="1">
      <c r="A22" s="9" t="s">
        <v>36</v>
      </c>
      <c r="B22" s="2" t="str">
        <f>IF(A22=Label!A22,Label!B22,"not yet")</f>
        <v>OutOfScope: Duplicates</v>
      </c>
    </row>
    <row r="23" spans="1:2" ht="15.75" customHeight="1">
      <c r="A23" s="9" t="s">
        <v>37</v>
      </c>
      <c r="B23" s="2" t="str">
        <f>IF(A23=Label!A23,Label!B23,"not yet")</f>
        <v>OutOfScope: Cannot access</v>
      </c>
    </row>
    <row r="24" spans="1:2" ht="15.75" customHeight="1">
      <c r="A24" s="9" t="s">
        <v>38</v>
      </c>
      <c r="B24" s="2" t="str">
        <f>IF(A24=Label!A24,Label!B24,"not yet")</f>
        <v>OutOfScope: New Story</v>
      </c>
    </row>
    <row r="25" spans="1:2" ht="15.75" customHeight="1">
      <c r="A25" s="9" t="s">
        <v>39</v>
      </c>
      <c r="B25" s="2" t="str">
        <f>IF(A25=Label!A25,Label!B25,"not yet")</f>
        <v>OutOfScope: New Story</v>
      </c>
    </row>
    <row r="26" spans="1:2" ht="15.75" customHeight="1">
      <c r="A26" s="9" t="s">
        <v>40</v>
      </c>
      <c r="B26" s="2" t="str">
        <f>IF(A26=Label!A26,Label!B26,"not yet")</f>
        <v>OutOfScope: Duplicates</v>
      </c>
    </row>
    <row r="27" spans="1:2" ht="15.75" customHeight="1">
      <c r="A27" s="9" t="s">
        <v>41</v>
      </c>
      <c r="B27" s="2" t="str">
        <f>IF(A27=Label!A27,Label!B27,"not yet")</f>
        <v>OutOfScope: Duplicates</v>
      </c>
    </row>
    <row r="28" spans="1:2" ht="15.75" customHeight="1">
      <c r="A28" s="9" t="s">
        <v>42</v>
      </c>
      <c r="B28" s="2" t="str">
        <f>IF(A28=Label!A28,Label!B28,"not yet")</f>
        <v>Contents Disappeared</v>
      </c>
    </row>
    <row r="29" spans="1:2" ht="15.75" customHeight="1">
      <c r="A29" s="9" t="s">
        <v>44</v>
      </c>
      <c r="B29" s="2" t="str">
        <f>IF(A29=Label!A29,Label!B29,"not yet")</f>
        <v>Box Color Changed</v>
      </c>
    </row>
    <row r="30" spans="1:2" ht="15.75" customHeight="1">
      <c r="A30" s="9" t="s">
        <v>46</v>
      </c>
      <c r="B30" s="2" t="str">
        <f>IF(A30=Label!A30,Label!B30,"not yet")</f>
        <v>Box Color Changed</v>
      </c>
    </row>
    <row r="31" spans="1:2" ht="15.75" customHeight="1">
      <c r="A31" s="9" t="s">
        <v>47</v>
      </c>
      <c r="B31" s="2" t="str">
        <f>IF(A31=Label!A31,Label!B31,"not yet")</f>
        <v>Box Color Changed</v>
      </c>
    </row>
    <row r="32" spans="1:2" ht="15.75" customHeight="1">
      <c r="A32" s="9" t="s">
        <v>48</v>
      </c>
      <c r="B32" s="2" t="str">
        <f>IF(A32=Label!A32,Label!B32,"not yet")</f>
        <v>OutOfScope: Duplicates</v>
      </c>
    </row>
    <row r="33" spans="1:2" ht="15.75" customHeight="1">
      <c r="A33" s="9" t="s">
        <v>49</v>
      </c>
      <c r="B33" s="2" t="str">
        <f>IF(A33=Label!A33,Label!B33,"not yet")</f>
        <v>OutOfScope: New Story</v>
      </c>
    </row>
    <row r="34" spans="1:2" ht="15.75" customHeight="1">
      <c r="A34" s="9" t="s">
        <v>50</v>
      </c>
      <c r="B34" s="2" t="str">
        <f>IF(A34=Label!A34,Label!B34,"not yet")</f>
        <v>Box Size Changed</v>
      </c>
    </row>
    <row r="35" spans="1:2" ht="15.75" customHeight="1">
      <c r="A35" s="9" t="s">
        <v>52</v>
      </c>
      <c r="B35" s="2" t="str">
        <f>IF(A35=Label!A35,Label!B35,"not yet")</f>
        <v>OutOfScope: Not VRT Discussion</v>
      </c>
    </row>
    <row r="36" spans="1:2" ht="15.75" customHeight="1">
      <c r="A36" s="9" t="s">
        <v>54</v>
      </c>
      <c r="B36" s="2" t="str">
        <f>IF(A36=Label!A36,Label!B36,"not yet")</f>
        <v>Layout Shifted</v>
      </c>
    </row>
    <row r="37" spans="1:2" ht="15.75" customHeight="1">
      <c r="A37" s="9" t="s">
        <v>55</v>
      </c>
      <c r="B37" s="2" t="str">
        <f>IF(A37=Label!A37,Label!B37,"not yet")</f>
        <v>OutOfScope: New Story</v>
      </c>
    </row>
    <row r="38" spans="1:2" ht="15.75" customHeight="1">
      <c r="A38" s="9" t="s">
        <v>56</v>
      </c>
      <c r="B38" s="2" t="str">
        <f>IF(A38=Label!A38,Label!B38,"not yet")</f>
        <v>OutOfScope: New Story</v>
      </c>
    </row>
    <row r="39" spans="1:2" ht="15.75" customHeight="1">
      <c r="A39" s="9" t="s">
        <v>57</v>
      </c>
      <c r="B39" s="2" t="str">
        <f>IF(A39=Label!A39,Label!B39,"not yet")</f>
        <v>OutOfScope: New Story</v>
      </c>
    </row>
    <row r="40" spans="1:2" ht="15.75" customHeight="1">
      <c r="A40" s="9" t="s">
        <v>58</v>
      </c>
      <c r="B40" s="2" t="str">
        <f>IF(A40=Label!A40,Label!B40,"not yet")</f>
        <v>OutOfScope: New Story</v>
      </c>
    </row>
    <row r="41" spans="1:2" ht="15.75" customHeight="1">
      <c r="A41" s="9" t="s">
        <v>59</v>
      </c>
      <c r="B41" s="2" t="str">
        <f>IF(A41=Label!A41,Label!B41,"not yet")</f>
        <v>OutOfScope: Duplicates</v>
      </c>
    </row>
    <row r="42" spans="1:2" ht="15.75" customHeight="1">
      <c r="A42" s="9" t="s">
        <v>60</v>
      </c>
      <c r="B42" s="2" t="str">
        <f>IF(A42=Label!A42,Label!B42,"not yet")</f>
        <v>Undefined/Wrong State is Shown</v>
      </c>
    </row>
    <row r="43" spans="1:2" ht="15.75" customHeight="1">
      <c r="A43" s="9" t="s">
        <v>61</v>
      </c>
      <c r="B43" s="2" t="str">
        <f>IF(A43=Label!A43,Label!B43,"not yet")</f>
        <v>New Contents</v>
      </c>
    </row>
    <row r="44" spans="1:2" ht="15.75" customHeight="1">
      <c r="A44" s="9" t="s">
        <v>62</v>
      </c>
      <c r="B44" s="2" t="str">
        <f>IF(A44=Label!A44,Label!B44,"not yet")</f>
        <v>Text Color Changed</v>
      </c>
    </row>
    <row r="45" spans="1:2" ht="15.75" customHeight="1">
      <c r="A45" s="9" t="s">
        <v>64</v>
      </c>
      <c r="B45" s="2" t="str">
        <f>IF(A45=Label!A45,Label!B45,"not yet")</f>
        <v>Size of Page/Header Changed</v>
      </c>
    </row>
    <row r="46" spans="1:2" ht="15.75" customHeight="1">
      <c r="A46" s="9" t="s">
        <v>65</v>
      </c>
      <c r="B46" s="2" t="str">
        <f>IF(A46=Label!A46,Label!B46,"not yet")</f>
        <v>OutOfScope: Duplicates</v>
      </c>
    </row>
    <row r="47" spans="1:2" ht="15.75" customHeight="1">
      <c r="A47" s="9" t="s">
        <v>66</v>
      </c>
      <c r="B47" s="2" t="str">
        <f>IF(A47=Label!A47,Label!B47,"not yet")</f>
        <v>New Contents</v>
      </c>
    </row>
    <row r="48" spans="1:2" ht="15.75" customHeight="1">
      <c r="A48" s="9" t="s">
        <v>67</v>
      </c>
      <c r="B48" s="2" t="str">
        <f>IF(A48=Label!A48,Label!B48,"not yet")</f>
        <v>Default State is Changed</v>
      </c>
    </row>
    <row r="49" spans="1:2" ht="15.75" customHeight="1">
      <c r="A49" s="9" t="s">
        <v>68</v>
      </c>
      <c r="B49" s="2" t="str">
        <f>IF(A49=Label!A49,Label!B49,"not yet")</f>
        <v>OutOfScope: New Story</v>
      </c>
    </row>
    <row r="50" spans="1:2" ht="15.75" customHeight="1">
      <c r="A50" s="9" t="s">
        <v>69</v>
      </c>
      <c r="B50" s="2" t="str">
        <f>IF(A50=Label!A50,Label!B50,"not yet")</f>
        <v>Not sure</v>
      </c>
    </row>
    <row r="51" spans="1:2" ht="15.75" customHeight="1">
      <c r="A51" s="9" t="s">
        <v>71</v>
      </c>
      <c r="B51" s="2" t="str">
        <f>IF(A51=Label!A51,Label!B51,"not yet")</f>
        <v>Layout Changed</v>
      </c>
    </row>
    <row r="52" spans="1:2" ht="15.75" customHeight="1">
      <c r="A52" s="9" t="s">
        <v>72</v>
      </c>
      <c r="B52" s="2" t="str">
        <f>IF(A52=Label!A52,Label!B52,"not yet")</f>
        <v>OutOfScope: New Story</v>
      </c>
    </row>
    <row r="53" spans="1:2" ht="15.75" customHeight="1">
      <c r="A53" s="9" t="s">
        <v>73</v>
      </c>
      <c r="B53" s="2" t="str">
        <f>IF(A53=Label!A53,Label!B53,"not yet")</f>
        <v>Size of Page/Header Changed</v>
      </c>
    </row>
    <row r="54" spans="1:2" ht="15.75" customHeight="1">
      <c r="A54" s="9" t="s">
        <v>74</v>
      </c>
      <c r="B54" s="2" t="str">
        <f>IF(A54=Label!A54,Label!B54,"not yet")</f>
        <v>Contents of Text Changed</v>
      </c>
    </row>
    <row r="55" spans="1:2" ht="15.75" customHeight="1">
      <c r="A55" s="9" t="s">
        <v>76</v>
      </c>
      <c r="B55" s="2" t="str">
        <f>IF(A55=Label!A55,Label!B55,"not yet")</f>
        <v>Layout Shifted</v>
      </c>
    </row>
    <row r="56" spans="1:2" ht="15.75" customHeight="1">
      <c r="A56" s="9" t="s">
        <v>77</v>
      </c>
      <c r="B56" s="2" t="str">
        <f>IF(A56=Label!A56,Label!B56,"not yet")</f>
        <v>OutOfScope: New Story</v>
      </c>
    </row>
    <row r="57" spans="1:2" ht="15.75" customHeight="1">
      <c r="A57" s="9" t="s">
        <v>78</v>
      </c>
      <c r="B57" s="2" t="str">
        <f>IF(A57=Label!A57,Label!B57,"not yet")</f>
        <v>OutOfScope: Cannot access</v>
      </c>
    </row>
    <row r="58" spans="1:2" ht="13">
      <c r="A58" s="9" t="s">
        <v>79</v>
      </c>
      <c r="B58" s="2" t="str">
        <f>IF(A58=Label!A58,Label!B58,"not yet")</f>
        <v>OutOfScope: Not VRT Discussion</v>
      </c>
    </row>
    <row r="59" spans="1:2" ht="13">
      <c r="A59" s="9" t="s">
        <v>80</v>
      </c>
      <c r="B59" s="2" t="str">
        <f>IF(A59=Label!A59,Label!B59,"not yet")</f>
        <v>OutOfScope: New Story</v>
      </c>
    </row>
    <row r="60" spans="1:2" ht="13">
      <c r="A60" s="9" t="s">
        <v>81</v>
      </c>
      <c r="B60" s="2" t="str">
        <f>IF(A60=Label!A60,Label!B60,"not yet")</f>
        <v>OutOfScope: New Story</v>
      </c>
    </row>
    <row r="61" spans="1:2" ht="13">
      <c r="A61" s="9" t="s">
        <v>82</v>
      </c>
      <c r="B61" s="2" t="str">
        <f>IF(A61=Label!A61,Label!B61,"not yet")</f>
        <v>Contents of Text Changed</v>
      </c>
    </row>
    <row r="62" spans="1:2" ht="13">
      <c r="A62" s="9" t="s">
        <v>83</v>
      </c>
      <c r="B62" s="2" t="str">
        <f>IF(A62=Label!A62,Label!B62,"not yet")</f>
        <v>Box Color Changed</v>
      </c>
    </row>
    <row r="63" spans="1:2" ht="13">
      <c r="A63" s="9" t="s">
        <v>84</v>
      </c>
      <c r="B63" s="2" t="str">
        <f>IF(A63=Label!A63,Label!B63,"not yet")</f>
        <v>Image Adjusted</v>
      </c>
    </row>
    <row r="64" spans="1:2" ht="13">
      <c r="A64" s="9" t="s">
        <v>86</v>
      </c>
      <c r="B64" s="2" t="str">
        <f>IF(A64=Label!A64,Label!B64,"not yet")</f>
        <v>OutOfScope: New Story</v>
      </c>
    </row>
    <row r="65" spans="1:2" ht="13">
      <c r="A65" s="9" t="s">
        <v>87</v>
      </c>
      <c r="B65" s="2" t="str">
        <f>IF(A65=Label!A65,Label!B65,"not yet")</f>
        <v>Size of Page/Header Changed</v>
      </c>
    </row>
    <row r="66" spans="1:2" ht="13">
      <c r="A66" s="9" t="s">
        <v>88</v>
      </c>
      <c r="B66" s="2" t="str">
        <f>IF(A66=Label!A66,Label!B66,"not yet")</f>
        <v>Text Disappeared</v>
      </c>
    </row>
    <row r="67" spans="1:2" ht="13">
      <c r="A67" s="9" t="s">
        <v>89</v>
      </c>
      <c r="B67" s="2" t="str">
        <f>IF(A67=Label!A67,Label!B67,"not yet")</f>
        <v>OutOfScope: New Story</v>
      </c>
    </row>
    <row r="68" spans="1:2" ht="13">
      <c r="A68" s="9" t="s">
        <v>90</v>
      </c>
      <c r="B68" s="2" t="str">
        <f>IF(A68=Label!A68,Label!B68,"not yet")</f>
        <v>OutOfScope: Chromatic Error</v>
      </c>
    </row>
    <row r="69" spans="1:2" ht="13">
      <c r="A69" s="9" t="s">
        <v>92</v>
      </c>
      <c r="B69" s="2" t="str">
        <f>IF(A69=Label!A69,Label!B69,"not yet")</f>
        <v>OutOfScope: Duplicates</v>
      </c>
    </row>
    <row r="70" spans="1:2" ht="13">
      <c r="A70" s="9" t="s">
        <v>93</v>
      </c>
      <c r="B70" s="2" t="str">
        <f>IF(A70=Label!A70,Label!B70,"not yet")</f>
        <v>Wrong Border Thickness</v>
      </c>
    </row>
    <row r="71" spans="1:2" ht="13">
      <c r="A71" s="9" t="s">
        <v>95</v>
      </c>
      <c r="B71" s="2" t="str">
        <f>IF(A71=Label!A71,Label!B71,"not yet")</f>
        <v>OutOfScope: Duplicates</v>
      </c>
    </row>
    <row r="72" spans="1:2" ht="13">
      <c r="A72" s="9" t="s">
        <v>96</v>
      </c>
      <c r="B72" s="2" t="str">
        <f>IF(A72=Label!A72,Label!B72,"not yet")</f>
        <v>New Border Appeared</v>
      </c>
    </row>
    <row r="73" spans="1:2" ht="13">
      <c r="A73" s="9" t="s">
        <v>98</v>
      </c>
      <c r="B73" s="2" t="str">
        <f>IF(A73=Label!A73,Label!B73,"not yet")</f>
        <v>OutOfScope: Duplicates</v>
      </c>
    </row>
    <row r="74" spans="1:2" ht="13">
      <c r="A74" s="9" t="s">
        <v>99</v>
      </c>
      <c r="B74" s="2" t="str">
        <f>IF(A74=Label!A74,Label!B74,"not yet")</f>
        <v>Text Disappeared</v>
      </c>
    </row>
    <row r="75" spans="1:2" ht="13">
      <c r="A75" s="9" t="s">
        <v>100</v>
      </c>
      <c r="B75" s="2" t="str">
        <f>IF(A75=Label!A75,Label!B75,"not yet")</f>
        <v>Not sure</v>
      </c>
    </row>
    <row r="76" spans="1:2" ht="13">
      <c r="A76" s="9" t="s">
        <v>101</v>
      </c>
      <c r="B76" s="2" t="str">
        <f>IF(A76=Label!A76,Label!B76,"not yet")</f>
        <v>OutOfScope: Duplicates</v>
      </c>
    </row>
    <row r="77" spans="1:2" ht="13">
      <c r="A77" s="9" t="s">
        <v>102</v>
      </c>
      <c r="B77" s="2" t="str">
        <f>IF(A77=Label!A77,Label!B77,"not yet")</f>
        <v>Box Size Changed</v>
      </c>
    </row>
    <row r="78" spans="1:2" ht="13">
      <c r="A78" s="9" t="s">
        <v>103</v>
      </c>
      <c r="B78" s="2" t="str">
        <f>IF(A78=Label!A78,Label!B78,"not yet")</f>
        <v>Contents Disappeared</v>
      </c>
    </row>
    <row r="79" spans="1:2" ht="13">
      <c r="A79" s="9" t="s">
        <v>104</v>
      </c>
      <c r="B79" s="2" t="str">
        <f>IF(A79=Label!A79,Label!B79,"not yet")</f>
        <v>Layout Shifted</v>
      </c>
    </row>
    <row r="80" spans="1:2" ht="13">
      <c r="A80" s="9" t="s">
        <v>105</v>
      </c>
      <c r="B80" s="2" t="str">
        <f>IF(A80=Label!A80,Label!B80,"not yet")</f>
        <v>Text Disappeared</v>
      </c>
    </row>
    <row r="81" spans="1:2" ht="13">
      <c r="A81" s="9" t="s">
        <v>106</v>
      </c>
      <c r="B81" s="2" t="str">
        <f>IF(A81=Label!A81,Label!B81,"not yet")</f>
        <v>Layout Changed</v>
      </c>
    </row>
    <row r="82" spans="1:2" ht="13">
      <c r="A82" s="9" t="s">
        <v>107</v>
      </c>
      <c r="B82" s="2" t="str">
        <f>IF(A82=Label!A82,Label!B82,"not yet")</f>
        <v>Layout Shifted</v>
      </c>
    </row>
    <row r="83" spans="1:2" ht="13">
      <c r="A83" s="9" t="s">
        <v>108</v>
      </c>
      <c r="B83" s="2" t="str">
        <f>IF(A83=Label!A83,Label!B83,"not yet")</f>
        <v>Size of Page/Header Changed</v>
      </c>
    </row>
    <row r="84" spans="1:2" ht="13">
      <c r="A84" s="9" t="s">
        <v>109</v>
      </c>
      <c r="B84" s="2" t="str">
        <f>IF(A84=Label!A84,Label!B84,"not yet")</f>
        <v>Layout Shifted</v>
      </c>
    </row>
    <row r="85" spans="1:2" ht="13">
      <c r="A85" s="9" t="s">
        <v>110</v>
      </c>
      <c r="B85" s="2" t="str">
        <f>IF(A85=Label!A85,Label!B85,"not yet")</f>
        <v>Layout Shifted</v>
      </c>
    </row>
    <row r="86" spans="1:2" ht="13">
      <c r="A86" s="9" t="s">
        <v>111</v>
      </c>
      <c r="B86" s="2" t="str">
        <f>IF(A86=Label!A86,Label!B86,"not yet")</f>
        <v>Undefined/Wrong State is Shown</v>
      </c>
    </row>
    <row r="87" spans="1:2" ht="13">
      <c r="A87" s="9" t="s">
        <v>112</v>
      </c>
      <c r="B87" s="2" t="str">
        <f>IF(A87=Label!A87,Label!B87,"not yet")</f>
        <v>Layout Shifted</v>
      </c>
    </row>
    <row r="88" spans="1:2" ht="13">
      <c r="A88" s="9" t="s">
        <v>113</v>
      </c>
      <c r="B88" s="2" t="str">
        <f>IF(A88=Label!A88,Label!B88,"not yet")</f>
        <v>OutOfScope: Duplicates</v>
      </c>
    </row>
    <row r="89" spans="1:2" ht="13">
      <c r="A89" s="9" t="s">
        <v>114</v>
      </c>
      <c r="B89" s="2" t="str">
        <f>IF(A89=Label!A89,Label!B89,"not yet")</f>
        <v>Box Color Changed</v>
      </c>
    </row>
    <row r="90" spans="1:2" ht="13">
      <c r="A90" s="9" t="s">
        <v>115</v>
      </c>
      <c r="B90" s="2" t="str">
        <f>IF(A90=Label!A90,Label!B90,"not yet")</f>
        <v>Image Adjusted</v>
      </c>
    </row>
    <row r="91" spans="1:2" ht="13">
      <c r="A91" s="9" t="s">
        <v>116</v>
      </c>
      <c r="B91" s="2" t="str">
        <f>IF(A91=Label!A91,Label!B91,"not yet")</f>
        <v>OutOfScope: Cannot access</v>
      </c>
    </row>
    <row r="92" spans="1:2" ht="13">
      <c r="A92" s="9" t="s">
        <v>117</v>
      </c>
      <c r="B92" s="2" t="str">
        <f>IF(A92=Label!A92,Label!B92,"not yet")</f>
        <v>OutOfScope: New Story</v>
      </c>
    </row>
    <row r="93" spans="1:2" ht="13">
      <c r="A93" s="9" t="s">
        <v>118</v>
      </c>
      <c r="B93" s="2" t="str">
        <f>IF(A93=Label!A93,Label!B93,"not yet")</f>
        <v>OutOfScope: New Story</v>
      </c>
    </row>
    <row r="94" spans="1:2" ht="13">
      <c r="A94" s="9" t="s">
        <v>119</v>
      </c>
      <c r="B94" s="2" t="str">
        <f>IF(A94=Label!A94,Label!B94,"not yet")</f>
        <v>Layout Shifted</v>
      </c>
    </row>
    <row r="95" spans="1:2" ht="13">
      <c r="A95" s="9" t="s">
        <v>120</v>
      </c>
      <c r="B95" s="2" t="str">
        <f>IF(A95=Label!A95,Label!B95,"not yet")</f>
        <v>New Text</v>
      </c>
    </row>
    <row r="96" spans="1:2" ht="13">
      <c r="A96" s="9" t="s">
        <v>122</v>
      </c>
      <c r="B96" s="2" t="str">
        <f>IF(A96=Label!A96,Label!B96,"not yet")</f>
        <v>Size of Page/Header Changed</v>
      </c>
    </row>
    <row r="97" spans="1:2" ht="13">
      <c r="A97" s="9" t="s">
        <v>123</v>
      </c>
      <c r="B97" s="2" t="str">
        <f>IF(A97=Label!A97,Label!B97,"not yet")</f>
        <v>Image Replaced</v>
      </c>
    </row>
    <row r="98" spans="1:2" ht="13">
      <c r="A98" s="9" t="s">
        <v>124</v>
      </c>
      <c r="B98" s="2" t="str">
        <f>IF(A98=Label!A98,Label!B98,"not yet")</f>
        <v>OutOfScope: Duplicates</v>
      </c>
    </row>
    <row r="99" spans="1:2" ht="13">
      <c r="A99" s="9" t="s">
        <v>125</v>
      </c>
      <c r="B99" s="2" t="str">
        <f>IF(A99=Label!A99,Label!B99,"not yet")</f>
        <v>OutOfScope: Duplicates</v>
      </c>
    </row>
    <row r="100" spans="1:2" ht="13">
      <c r="A100" s="9" t="s">
        <v>126</v>
      </c>
      <c r="B100" s="2" t="str">
        <f>IF(A100=Label!A100,Label!B100,"not yet")</f>
        <v>Size of Page/Header Changed</v>
      </c>
    </row>
    <row r="101" spans="1:2" ht="13">
      <c r="A101" s="9" t="s">
        <v>127</v>
      </c>
      <c r="B101" s="2" t="str">
        <f>IF(A101=Label!A101,Label!B101,"not yet")</f>
        <v>Box Color Changed</v>
      </c>
    </row>
    <row r="102" spans="1:2" ht="13">
      <c r="A102" s="9" t="s">
        <v>128</v>
      </c>
      <c r="B102" s="2" t="str">
        <f>IF(A102=Label!A102,Label!B102,"not yet")</f>
        <v>Focus Does Not Work</v>
      </c>
    </row>
    <row r="103" spans="1:2" ht="13">
      <c r="A103" s="9" t="s">
        <v>129</v>
      </c>
      <c r="B103" s="2" t="str">
        <f>IF(A103=Label!A103,Label!B103,"not yet")</f>
        <v>Specific Items are Mis-aligned</v>
      </c>
    </row>
    <row r="104" spans="1:2" ht="13">
      <c r="A104" s="9" t="s">
        <v>131</v>
      </c>
      <c r="B104" s="2" t="str">
        <f>IF(A104=Label!A104,Label!B104,"not yet")</f>
        <v>OutOfScope: Chromatic Error</v>
      </c>
    </row>
    <row r="105" spans="1:2" ht="13">
      <c r="A105" s="9" t="s">
        <v>132</v>
      </c>
      <c r="B105" s="2" t="str">
        <f>IF(A105=Label!A105,Label!B105,"not yet")</f>
        <v>OutOfScope: Duplicates</v>
      </c>
    </row>
    <row r="106" spans="1:2" ht="13">
      <c r="A106" s="9" t="s">
        <v>133</v>
      </c>
      <c r="B106" s="2" t="str">
        <f>IF(A106=Label!A106,Label!B106,"not yet")</f>
        <v>Border Color Changed</v>
      </c>
    </row>
    <row r="107" spans="1:2" ht="13">
      <c r="A107" s="9" t="s">
        <v>135</v>
      </c>
      <c r="B107" s="2" t="str">
        <f>IF(A107=Label!A107,Label!B107,"not yet")</f>
        <v>OutOfScope: Duplicates</v>
      </c>
    </row>
    <row r="108" spans="1:2" ht="13">
      <c r="A108" s="9" t="s">
        <v>136</v>
      </c>
      <c r="B108" s="2" t="str">
        <f>IF(A108=Label!A108,Label!B108,"not yet")</f>
        <v>Wrong Border Thickness</v>
      </c>
    </row>
    <row r="109" spans="1:2" ht="13">
      <c r="A109" s="9" t="s">
        <v>137</v>
      </c>
      <c r="B109" s="2" t="str">
        <f>IF(A109=Label!A109,Label!B109,"not yet")</f>
        <v>OutOfScope: Chromatic Error</v>
      </c>
    </row>
    <row r="110" spans="1:2" ht="13">
      <c r="A110" s="9" t="s">
        <v>138</v>
      </c>
      <c r="B110" s="2" t="str">
        <f>IF(A110=Label!A110,Label!B110,"not yet")</f>
        <v>Box Color Changed</v>
      </c>
    </row>
    <row r="111" spans="1:2" ht="13">
      <c r="A111" s="9" t="s">
        <v>139</v>
      </c>
      <c r="B111" s="2" t="str">
        <f>IF(A111=Label!A111,Label!B111,"not yet")</f>
        <v>Layout Shifted</v>
      </c>
    </row>
    <row r="112" spans="1:2" ht="13">
      <c r="A112" s="9" t="s">
        <v>140</v>
      </c>
      <c r="B112" s="2" t="str">
        <f>IF(A112=Label!A112,Label!B112,"not yet")</f>
        <v>Specific Items are Mis-aligned</v>
      </c>
    </row>
    <row r="113" spans="1:2" ht="13">
      <c r="A113" s="9" t="s">
        <v>141</v>
      </c>
      <c r="B113" s="2" t="str">
        <f>IF(A113=Label!A113,Label!B113,"not yet")</f>
        <v>OutOfScope: New Story</v>
      </c>
    </row>
    <row r="114" spans="1:2" ht="13">
      <c r="A114" s="9" t="s">
        <v>142</v>
      </c>
      <c r="B114" s="2" t="str">
        <f>IF(A114=Label!A114,Label!B114,"not yet")</f>
        <v>Layout Shifted</v>
      </c>
    </row>
    <row r="115" spans="1:2" ht="13">
      <c r="A115" s="9" t="s">
        <v>143</v>
      </c>
      <c r="B115" s="2" t="str">
        <f>IF(A115=Label!A115,Label!B115,"not yet")</f>
        <v>OutOfScope: New Story</v>
      </c>
    </row>
    <row r="116" spans="1:2" ht="13">
      <c r="A116" s="9" t="s">
        <v>144</v>
      </c>
      <c r="B116" s="2" t="str">
        <f>IF(A116=Label!A116,Label!B116,"not yet")</f>
        <v>Specific Items are Mis-aligned</v>
      </c>
    </row>
    <row r="117" spans="1:2" ht="13">
      <c r="A117" s="9" t="s">
        <v>145</v>
      </c>
      <c r="B117" s="2" t="str">
        <f>IF(A117=Label!A117,Label!B117,"not yet")</f>
        <v>Contents Disappeared</v>
      </c>
    </row>
    <row r="118" spans="1:2" ht="13">
      <c r="A118" s="9" t="s">
        <v>146</v>
      </c>
      <c r="B118" s="2" t="str">
        <f>IF(A118=Label!A118,Label!B118,"not yet")</f>
        <v>Not sure</v>
      </c>
    </row>
    <row r="119" spans="1:2" ht="13">
      <c r="A119" s="9" t="s">
        <v>147</v>
      </c>
      <c r="B119" s="2" t="str">
        <f>IF(A119=Label!A119,Label!B119,"not yet")</f>
        <v>New Buttons</v>
      </c>
    </row>
    <row r="120" spans="1:2" ht="13">
      <c r="A120" s="9" t="s">
        <v>149</v>
      </c>
      <c r="B120" s="2" t="str">
        <f>IF(A120=Label!A120,Label!B120,"not yet")</f>
        <v>Text Color Changed</v>
      </c>
    </row>
    <row r="121" spans="1:2" ht="13">
      <c r="A121" s="9" t="s">
        <v>150</v>
      </c>
      <c r="B121" s="2" t="str">
        <f>IF(A121=Label!A121,Label!B121,"not yet")</f>
        <v>New Contents</v>
      </c>
    </row>
    <row r="122" spans="1:2" ht="13">
      <c r="A122" s="9" t="s">
        <v>151</v>
      </c>
      <c r="B122" s="2" t="str">
        <f>IF(A122=Label!A122,Label!B122,"not yet")</f>
        <v>Box Color Changed</v>
      </c>
    </row>
    <row r="123" spans="1:2" ht="13">
      <c r="A123" s="9" t="s">
        <v>152</v>
      </c>
      <c r="B123" s="2" t="str">
        <f>IF(A123=Label!A123,Label!B123,"not yet")</f>
        <v>Flacky Test</v>
      </c>
    </row>
    <row r="124" spans="1:2" ht="13">
      <c r="A124" s="9" t="s">
        <v>154</v>
      </c>
      <c r="B124" s="2" t="str">
        <f>IF(A124=Label!A124,Label!B124,"not yet")</f>
        <v>OutOfScope: New Story</v>
      </c>
    </row>
    <row r="125" spans="1:2" ht="13">
      <c r="A125" s="9" t="s">
        <v>155</v>
      </c>
      <c r="B125" s="2" t="str">
        <f>IF(A125=Label!A125,Label!B125,"not yet")</f>
        <v>OutOfScope: Cannot access</v>
      </c>
    </row>
    <row r="126" spans="1:2" ht="13">
      <c r="A126" s="9" t="s">
        <v>156</v>
      </c>
      <c r="B126" s="2" t="str">
        <f>IF(A126=Label!A126,Label!B126,"not yet")</f>
        <v>Layout Shifted</v>
      </c>
    </row>
    <row r="127" spans="1:2" ht="13">
      <c r="A127" s="9" t="s">
        <v>157</v>
      </c>
      <c r="B127" s="2" t="str">
        <f>IF(A127=Label!A127,Label!B127,"not yet")</f>
        <v>OutOfScope: New Story</v>
      </c>
    </row>
    <row r="128" spans="1:2" ht="13">
      <c r="A128" s="9" t="s">
        <v>158</v>
      </c>
      <c r="B128" s="2" t="str">
        <f>IF(A128=Label!A128,Label!B128,"not yet")</f>
        <v>OutOfScope: Cannot access</v>
      </c>
    </row>
    <row r="129" spans="1:2" ht="13">
      <c r="A129" s="9" t="s">
        <v>159</v>
      </c>
      <c r="B129" s="2" t="str">
        <f>IF(A129=Label!A129,Label!B129,"not yet")</f>
        <v>No or Few Visual Diffrences Detected</v>
      </c>
    </row>
    <row r="130" spans="1:2" ht="13">
      <c r="A130" s="9" t="s">
        <v>161</v>
      </c>
      <c r="B130" s="2" t="str">
        <f>IF(A130=Label!A130,Label!B130,"not yet")</f>
        <v>Box Color Changed</v>
      </c>
    </row>
    <row r="131" spans="1:2" ht="13">
      <c r="A131" s="9" t="s">
        <v>162</v>
      </c>
      <c r="B131" s="2" t="str">
        <f>IF(A131=Label!A131,Label!B131,"not yet")</f>
        <v>Text Color Changed</v>
      </c>
    </row>
    <row r="132" spans="1:2" ht="13">
      <c r="A132" s="9" t="s">
        <v>163</v>
      </c>
      <c r="B132" s="2" t="str">
        <f>IF(A132=Label!A132,Label!B132,"not yet")</f>
        <v>Box Color Changed</v>
      </c>
    </row>
    <row r="133" spans="1:2" ht="13">
      <c r="A133" s="9" t="s">
        <v>164</v>
      </c>
      <c r="B133" s="2" t="str">
        <f>IF(A133=Label!A133,Label!B133,"not yet")</f>
        <v>Box Color Changed</v>
      </c>
    </row>
    <row r="134" spans="1:2" ht="13">
      <c r="A134" s="9" t="s">
        <v>165</v>
      </c>
      <c r="B134" s="2" t="str">
        <f>IF(A134=Label!A134,Label!B134,"not yet")</f>
        <v>OutOfScope: Duplicates</v>
      </c>
    </row>
    <row r="135" spans="1:2" ht="13">
      <c r="A135" s="9" t="s">
        <v>166</v>
      </c>
      <c r="B135" s="2" t="str">
        <f>IF(A135=Label!A135,Label!B135,"not yet")</f>
        <v>Text Color Changed</v>
      </c>
    </row>
    <row r="136" spans="1:2" ht="13">
      <c r="A136" s="9" t="s">
        <v>167</v>
      </c>
      <c r="B136" s="2" t="str">
        <f>IF(A136=Label!A136,Label!B136,"not yet")</f>
        <v>OutOfScope: New Story</v>
      </c>
    </row>
    <row r="137" spans="1:2" ht="13">
      <c r="A137" s="9" t="s">
        <v>168</v>
      </c>
      <c r="B137" s="2" t="str">
        <f>IF(A137=Label!A137,Label!B137,"not yet")</f>
        <v>Box Size Changed</v>
      </c>
    </row>
    <row r="138" spans="1:2" ht="13">
      <c r="A138" s="9" t="s">
        <v>169</v>
      </c>
      <c r="B138" s="2" t="str">
        <f>IF(A138=Label!A138,Label!B138,"not yet")</f>
        <v>Box Size Changed</v>
      </c>
    </row>
    <row r="139" spans="1:2" ht="13">
      <c r="A139" s="9" t="s">
        <v>170</v>
      </c>
      <c r="B139" s="2" t="str">
        <f>IF(A139=Label!A139,Label!B139,"not yet")</f>
        <v>Default State is Changed</v>
      </c>
    </row>
    <row r="140" spans="1:2" ht="13">
      <c r="A140" s="9" t="s">
        <v>171</v>
      </c>
      <c r="B140" s="2" t="str">
        <f>IF(A140=Label!A140,Label!B140,"not yet")</f>
        <v>OutOfScope: Duplicates</v>
      </c>
    </row>
    <row r="141" spans="1:2" ht="13">
      <c r="A141" s="9" t="s">
        <v>172</v>
      </c>
      <c r="B141" s="2" t="str">
        <f>IF(A141=Label!A141,Label!B141,"not yet")</f>
        <v>OutOfScope: Duplicates</v>
      </c>
    </row>
    <row r="142" spans="1:2" ht="13">
      <c r="A142" s="9" t="s">
        <v>173</v>
      </c>
      <c r="B142" s="2" t="str">
        <f>IF(A142=Label!A142,Label!B142,"not yet")</f>
        <v>Layout Shifted</v>
      </c>
    </row>
    <row r="143" spans="1:2" ht="13">
      <c r="A143" s="9" t="s">
        <v>174</v>
      </c>
      <c r="B143" s="2" t="str">
        <f>IF(A143=Label!A143,Label!B143,"not yet")</f>
        <v>OutOfScope: New Story</v>
      </c>
    </row>
    <row r="144" spans="1:2" ht="13">
      <c r="A144" s="9" t="s">
        <v>175</v>
      </c>
      <c r="B144" s="2" t="str">
        <f>IF(A144=Label!A144,Label!B144,"not yet")</f>
        <v>Undefined/Wrong State is Shown</v>
      </c>
    </row>
    <row r="145" spans="1:2" ht="13">
      <c r="A145" s="9" t="s">
        <v>176</v>
      </c>
      <c r="B145" s="2" t="str">
        <f>IF(A145=Label!A145,Label!B145,"not yet")</f>
        <v>OutOfScope: Chromatic Error</v>
      </c>
    </row>
    <row r="146" spans="1:2" ht="13">
      <c r="A146" s="9" t="s">
        <v>177</v>
      </c>
      <c r="B146" s="2" t="str">
        <f>IF(A146=Label!A146,Label!B146,"not yet")</f>
        <v>Specific Items are Mis-aligned</v>
      </c>
    </row>
    <row r="147" spans="1:2" ht="13">
      <c r="A147" s="9" t="s">
        <v>178</v>
      </c>
      <c r="B147" s="2" t="str">
        <f>IF(A147=Label!A147,Label!B147,"not yet")</f>
        <v>Box Shape Changed</v>
      </c>
    </row>
    <row r="148" spans="1:2" ht="13">
      <c r="A148" s="9" t="s">
        <v>180</v>
      </c>
      <c r="B148" s="2" t="str">
        <f>IF(A148=Label!A148,Label!B148,"not yet")</f>
        <v>Layout Shifted</v>
      </c>
    </row>
    <row r="149" spans="1:2" ht="13">
      <c r="A149" s="9" t="s">
        <v>181</v>
      </c>
      <c r="B149" s="2" t="str">
        <f>IF(A149=Label!A149,Label!B149,"not yet")</f>
        <v>OutOfScope: New Story</v>
      </c>
    </row>
    <row r="150" spans="1:2" ht="13">
      <c r="A150" s="9" t="s">
        <v>182</v>
      </c>
      <c r="B150" s="2" t="str">
        <f>IF(A150=Label!A150,Label!B150,"not yet")</f>
        <v>OutOfScope: New Story</v>
      </c>
    </row>
    <row r="151" spans="1:2" ht="13">
      <c r="A151" s="9" t="s">
        <v>183</v>
      </c>
      <c r="B151" s="2" t="str">
        <f>IF(A151=Label!A151,Label!B151,"not yet")</f>
        <v>OutOfScope: Cannot access</v>
      </c>
    </row>
    <row r="152" spans="1:2" ht="13">
      <c r="A152" s="9" t="s">
        <v>184</v>
      </c>
      <c r="B152" s="2" t="str">
        <f>IF(A152=Label!A152,Label!B152,"not yet")</f>
        <v>OutOfScope: Duplicates</v>
      </c>
    </row>
    <row r="153" spans="1:2" ht="13">
      <c r="A153" s="9" t="s">
        <v>185</v>
      </c>
      <c r="B153" s="2" t="str">
        <f>IF(A153=Label!A153,Label!B153,"not yet")</f>
        <v>Box Size Changed</v>
      </c>
    </row>
    <row r="154" spans="1:2" ht="13">
      <c r="A154" s="9" t="s">
        <v>186</v>
      </c>
      <c r="B154" s="2" t="str">
        <f>IF(A154=Label!A154,Label!B154,"not yet")</f>
        <v>Size of Page/Header Changed</v>
      </c>
    </row>
    <row r="155" spans="1:2" ht="13">
      <c r="A155" s="9" t="s">
        <v>187</v>
      </c>
      <c r="B155" s="2" t="str">
        <f>IF(A155=Label!A155,Label!B155,"not yet")</f>
        <v>Layout Changed</v>
      </c>
    </row>
    <row r="156" spans="1:2" ht="13">
      <c r="A156" s="9" t="s">
        <v>188</v>
      </c>
      <c r="B156" s="2" t="str">
        <f>IF(A156=Label!A156,Label!B156,"not yet")</f>
        <v>Layout Shifted</v>
      </c>
    </row>
    <row r="157" spans="1:2" ht="13">
      <c r="A157" s="9" t="s">
        <v>189</v>
      </c>
      <c r="B157" s="2" t="str">
        <f>IF(A157=Label!A157,Label!B157,"not yet")</f>
        <v>OutOfScope: Chromatic Error</v>
      </c>
    </row>
    <row r="158" spans="1:2" ht="13">
      <c r="A158" s="9" t="s">
        <v>190</v>
      </c>
      <c r="B158" s="2" t="str">
        <f>IF(A158=Label!A158,Label!B158,"not yet")</f>
        <v>OutOfScope: New Story</v>
      </c>
    </row>
    <row r="159" spans="1:2" ht="13">
      <c r="A159" s="9" t="s">
        <v>191</v>
      </c>
      <c r="B159" s="2" t="str">
        <f>IF(A159=Label!A159,Label!B159,"not yet")</f>
        <v>OutOfScope: New Story</v>
      </c>
    </row>
    <row r="160" spans="1:2" ht="13">
      <c r="A160" s="9" t="s">
        <v>192</v>
      </c>
      <c r="B160" s="2" t="str">
        <f>IF(A160=Label!A160,Label!B160,"not yet")</f>
        <v>Layout Shifted</v>
      </c>
    </row>
    <row r="161" spans="1:2" ht="13">
      <c r="A161" s="9" t="s">
        <v>193</v>
      </c>
      <c r="B161" s="2" t="str">
        <f>IF(A161=Label!A161,Label!B161,"not yet")</f>
        <v>OutOfScope: New Story</v>
      </c>
    </row>
    <row r="162" spans="1:2" ht="13">
      <c r="A162" s="9" t="s">
        <v>194</v>
      </c>
      <c r="B162" s="2" t="str">
        <f>IF(A162=Label!A162,Label!B162,"not yet")</f>
        <v>No Changes</v>
      </c>
    </row>
    <row r="163" spans="1:2" ht="13">
      <c r="A163" s="9" t="s">
        <v>196</v>
      </c>
      <c r="B163" s="2" t="str">
        <f>IF(A163=Label!A163,Label!B163,"not yet")</f>
        <v>Layout Shifted</v>
      </c>
    </row>
    <row r="164" spans="1:2" ht="13">
      <c r="A164" s="9" t="s">
        <v>198</v>
      </c>
      <c r="B164" s="2" t="str">
        <f>IF(A164=Label!A164,Label!B164,"not yet")</f>
        <v>Layout Shifted</v>
      </c>
    </row>
    <row r="165" spans="1:2" ht="13">
      <c r="A165" s="9" t="s">
        <v>199</v>
      </c>
      <c r="B165" s="2" t="str">
        <f>IF(A165=Label!A165,Label!B165,"not yet")</f>
        <v>Box Shape Changed</v>
      </c>
    </row>
    <row r="166" spans="1:2" ht="13">
      <c r="A166" s="9" t="s">
        <v>200</v>
      </c>
      <c r="B166" s="2" t="str">
        <f>IF(A166=Label!A166,Label!B166,"not yet")</f>
        <v>OutOfScope: Duplicates</v>
      </c>
    </row>
    <row r="167" spans="1:2" ht="13">
      <c r="A167" s="9" t="s">
        <v>201</v>
      </c>
      <c r="B167" s="2" t="str">
        <f>IF(A167=Label!A167,Label!B167,"not yet")</f>
        <v>Layout Shifted</v>
      </c>
    </row>
    <row r="168" spans="1:2" ht="13">
      <c r="A168" s="9" t="s">
        <v>202</v>
      </c>
      <c r="B168" s="2" t="str">
        <f>IF(A168=Label!A168,Label!B168,"not yet")</f>
        <v>OutOfScope: Cannot access</v>
      </c>
    </row>
    <row r="169" spans="1:2" ht="13">
      <c r="A169" s="9" t="s">
        <v>203</v>
      </c>
      <c r="B169" s="2" t="str">
        <f>IF(A169=Label!A169,Label!B169,"not yet")</f>
        <v>OutOfScope: Duplicates</v>
      </c>
    </row>
    <row r="170" spans="1:2" ht="13">
      <c r="A170" s="9" t="s">
        <v>204</v>
      </c>
      <c r="B170" s="2" t="str">
        <f>IF(A170=Label!A170,Label!B170,"not yet")</f>
        <v>OutOfScope: New Story</v>
      </c>
    </row>
    <row r="171" spans="1:2" ht="13">
      <c r="A171" s="9" t="s">
        <v>205</v>
      </c>
      <c r="B171" s="2" t="str">
        <f>IF(A171=Label!A171,Label!B171,"not yet")</f>
        <v>OutOfScope: Duplicates</v>
      </c>
    </row>
    <row r="172" spans="1:2" ht="13">
      <c r="A172" s="9" t="s">
        <v>206</v>
      </c>
      <c r="B172" s="2" t="str">
        <f>IF(A172=Label!A172,Label!B172,"not yet")</f>
        <v>New Contents</v>
      </c>
    </row>
    <row r="173" spans="1:2" ht="13">
      <c r="A173" s="9" t="s">
        <v>207</v>
      </c>
      <c r="B173" s="2" t="str">
        <f>IF(A173=Label!A173,Label!B173,"not yet")</f>
        <v>OutOfScope: Duplicates</v>
      </c>
    </row>
    <row r="174" spans="1:2" ht="13">
      <c r="A174" s="9" t="s">
        <v>208</v>
      </c>
      <c r="B174" s="2" t="str">
        <f>IF(A174=Label!A174,Label!B174,"not yet")</f>
        <v>Layout Shifted</v>
      </c>
    </row>
    <row r="175" spans="1:2" ht="13">
      <c r="A175" s="9" t="s">
        <v>209</v>
      </c>
      <c r="B175" s="2" t="str">
        <f>IF(A175=Label!A175,Label!B175,"not yet")</f>
        <v>OutOfScope: New Story</v>
      </c>
    </row>
    <row r="176" spans="1:2" ht="13">
      <c r="A176" s="9" t="s">
        <v>210</v>
      </c>
      <c r="B176" s="2" t="str">
        <f>IF(A176=Label!A176,Label!B176,"not yet")</f>
        <v>Image Adjusted</v>
      </c>
    </row>
    <row r="177" spans="1:2" ht="13">
      <c r="A177" s="9" t="s">
        <v>211</v>
      </c>
      <c r="B177" s="2" t="str">
        <f>IF(A177=Label!A177,Label!B177,"not yet")</f>
        <v>OutOfScope: Chromatic Error</v>
      </c>
    </row>
    <row r="178" spans="1:2" ht="13">
      <c r="A178" s="9" t="s">
        <v>212</v>
      </c>
      <c r="B178" s="2" t="str">
        <f>IF(A178=Label!A178,Label!B178,"not yet")</f>
        <v>Text Color Changed</v>
      </c>
    </row>
    <row r="179" spans="1:2" ht="13">
      <c r="A179" s="9" t="s">
        <v>213</v>
      </c>
      <c r="B179" s="2" t="str">
        <f>IF(A179=Label!A179,Label!B179,"not yet")</f>
        <v>Box Size Changed</v>
      </c>
    </row>
    <row r="180" spans="1:2" ht="13">
      <c r="A180" s="9" t="s">
        <v>214</v>
      </c>
      <c r="B180" s="2" t="str">
        <f>IF(A180=Label!A180,Label!B180,"not yet")</f>
        <v>Default State is Changed</v>
      </c>
    </row>
    <row r="181" spans="1:2" ht="13">
      <c r="A181" s="9" t="s">
        <v>215</v>
      </c>
      <c r="B181" s="2" t="str">
        <f>IF(A181=Label!A181,Label!B181,"not yet")</f>
        <v>OutOfScope: Duplicates</v>
      </c>
    </row>
    <row r="182" spans="1:2" ht="13">
      <c r="A182" s="9" t="s">
        <v>216</v>
      </c>
      <c r="B182" s="2" t="str">
        <f>IF(A182=Label!A182,Label!B182,"not yet")</f>
        <v>Specific Items are Mis-aligned</v>
      </c>
    </row>
    <row r="183" spans="1:2" ht="13">
      <c r="A183" s="9" t="s">
        <v>217</v>
      </c>
      <c r="B183" s="2" t="str">
        <f>IF(A183=Label!A183,Label!B183,"not yet")</f>
        <v>OutOfScope: Duplicates</v>
      </c>
    </row>
    <row r="184" spans="1:2" ht="13">
      <c r="A184" s="9" t="s">
        <v>218</v>
      </c>
      <c r="B184" s="2" t="str">
        <f>IF(A184=Label!A184,Label!B184,"not yet")</f>
        <v>Layout Shifted</v>
      </c>
    </row>
    <row r="185" spans="1:2" ht="13">
      <c r="A185" s="9" t="s">
        <v>219</v>
      </c>
      <c r="B185" s="2" t="str">
        <f>IF(A185=Label!A185,Label!B185,"not yet")</f>
        <v>Layout Shifted</v>
      </c>
    </row>
    <row r="186" spans="1:2" ht="13">
      <c r="A186" s="9" t="s">
        <v>220</v>
      </c>
      <c r="B186" s="2" t="str">
        <f>IF(A186=Label!A186,Label!B186,"not yet")</f>
        <v>OutOfScope: Cannot access</v>
      </c>
    </row>
    <row r="187" spans="1:2" ht="13">
      <c r="A187" s="9" t="s">
        <v>221</v>
      </c>
      <c r="B187" s="2" t="str">
        <f>IF(A187=Label!A187,Label!B187,"not yet")</f>
        <v>OutOfScope: Cannot access</v>
      </c>
    </row>
    <row r="188" spans="1:2" ht="13">
      <c r="A188" s="9" t="s">
        <v>222</v>
      </c>
      <c r="B188" s="2" t="str">
        <f>IF(A188=Label!A188,Label!B188,"not yet")</f>
        <v>OutOfScope: Cannot access</v>
      </c>
    </row>
    <row r="189" spans="1:2" ht="13">
      <c r="A189" s="9" t="s">
        <v>223</v>
      </c>
      <c r="B189" s="2" t="str">
        <f>IF(A189=Label!A189,Label!B189,"not yet")</f>
        <v>OutOfScope: Cannot access</v>
      </c>
    </row>
    <row r="190" spans="1:2" ht="13">
      <c r="A190" s="9" t="s">
        <v>224</v>
      </c>
      <c r="B190" s="2" t="str">
        <f>IF(A190=Label!A190,Label!B190,"not yet")</f>
        <v>OutOfScope: New Story</v>
      </c>
    </row>
    <row r="191" spans="1:2" ht="13">
      <c r="A191" s="9" t="s">
        <v>225</v>
      </c>
      <c r="B191" s="2" t="str">
        <f>IF(A191=Label!A191,Label!B191,"not yet")</f>
        <v>New Text</v>
      </c>
    </row>
    <row r="192" spans="1:2" ht="13">
      <c r="A192" s="9" t="s">
        <v>226</v>
      </c>
      <c r="B192" s="2" t="str">
        <f>IF(A192=Label!A192,Label!B192,"not yet")</f>
        <v>Box Size Changed</v>
      </c>
    </row>
    <row r="193" spans="1:2" ht="13">
      <c r="A193" s="9" t="s">
        <v>227</v>
      </c>
      <c r="B193" s="2" t="str">
        <f>IF(A193=Label!A193,Label!B193,"not yet")</f>
        <v>OutOfScope: New Story</v>
      </c>
    </row>
    <row r="194" spans="1:2" ht="13">
      <c r="A194" s="9" t="s">
        <v>228</v>
      </c>
      <c r="B194" s="2" t="str">
        <f>IF(A194=Label!A194,Label!B194,"not yet")</f>
        <v>Box Size Changed</v>
      </c>
    </row>
    <row r="195" spans="1:2" ht="13">
      <c r="A195" s="9" t="s">
        <v>229</v>
      </c>
      <c r="B195" s="2" t="str">
        <f>IF(A195=Label!A195,Label!B195,"not yet")</f>
        <v>OutOfScope: Cannot access</v>
      </c>
    </row>
    <row r="196" spans="1:2" ht="13">
      <c r="A196" s="9" t="s">
        <v>230</v>
      </c>
      <c r="B196" s="2" t="str">
        <f>IF(A196=Label!A196,Label!B196,"not yet")</f>
        <v>OutOfScope: Duplicates</v>
      </c>
    </row>
    <row r="197" spans="1:2" ht="13">
      <c r="A197" s="9" t="s">
        <v>231</v>
      </c>
      <c r="B197" s="2" t="str">
        <f>IF(A197=Label!A197,Label!B197,"not yet")</f>
        <v>Layout Shifted</v>
      </c>
    </row>
    <row r="198" spans="1:2" ht="13">
      <c r="A198" s="9" t="s">
        <v>232</v>
      </c>
      <c r="B198" s="2" t="str">
        <f>IF(A198=Label!A198,Label!B198,"not yet")</f>
        <v>OutOfScope: New Story</v>
      </c>
    </row>
    <row r="199" spans="1:2" ht="13">
      <c r="A199" s="9" t="s">
        <v>233</v>
      </c>
      <c r="B199" s="2" t="str">
        <f>IF(A199=Label!A199,Label!B199,"not yet")</f>
        <v>Layout Shifted</v>
      </c>
    </row>
    <row r="200" spans="1:2" ht="13">
      <c r="A200" s="9" t="s">
        <v>234</v>
      </c>
      <c r="B200" s="2" t="str">
        <f>IF(A200=Label!A200,Label!B200,"not yet")</f>
        <v>Layout Changed</v>
      </c>
    </row>
    <row r="201" spans="1:2" ht="13">
      <c r="A201" s="9" t="s">
        <v>235</v>
      </c>
      <c r="B201" s="2" t="str">
        <f>IF(A201=Label!A201,Label!B201,"not yet")</f>
        <v>OutOfScope: Duplicates</v>
      </c>
    </row>
    <row r="202" spans="1:2" ht="13">
      <c r="A202" s="9" t="s">
        <v>236</v>
      </c>
      <c r="B202" s="2" t="str">
        <f>IF(A202=Label!A202,Label!B202,"not yet")</f>
        <v>Undefined/Wrong State is Shown</v>
      </c>
    </row>
    <row r="203" spans="1:2" ht="13">
      <c r="A203" s="9" t="s">
        <v>237</v>
      </c>
      <c r="B203" s="2" t="str">
        <f>IF(A203=Label!A203,Label!B203,"not yet")</f>
        <v>OutOfScope: Duplicates</v>
      </c>
    </row>
    <row r="204" spans="1:2" ht="13">
      <c r="A204" s="9" t="s">
        <v>238</v>
      </c>
      <c r="B204" s="2" t="str">
        <f>IF(A204=Label!A204,Label!B204,"not yet")</f>
        <v>Fragile Snapshot</v>
      </c>
    </row>
    <row r="205" spans="1:2" ht="13">
      <c r="A205" s="9" t="s">
        <v>240</v>
      </c>
      <c r="B205" s="2" t="str">
        <f>IF(A205=Label!A205,Label!B205,"not yet")</f>
        <v>Undefined/Wrong State is Shown</v>
      </c>
    </row>
    <row r="206" spans="1:2" ht="13">
      <c r="A206" s="9" t="s">
        <v>241</v>
      </c>
      <c r="B206" s="2" t="str">
        <f>IF(A206=Label!A206,Label!B206,"not yet")</f>
        <v>OutOfScope: Duplicates</v>
      </c>
    </row>
    <row r="207" spans="1:2" ht="13">
      <c r="A207" s="9" t="s">
        <v>242</v>
      </c>
      <c r="B207" s="2" t="str">
        <f>IF(A207=Label!A207,Label!B207,"not yet")</f>
        <v>OutOfScope: New Story</v>
      </c>
    </row>
    <row r="208" spans="1:2" ht="13">
      <c r="A208" s="9" t="s">
        <v>243</v>
      </c>
      <c r="B208" s="2" t="str">
        <f>IF(A208=Label!A208,Label!B208,"not yet")</f>
        <v>OutOfScope: Duplicates</v>
      </c>
    </row>
    <row r="209" spans="1:2" ht="13">
      <c r="A209" s="9" t="s">
        <v>244</v>
      </c>
      <c r="B209" s="2" t="str">
        <f>IF(A209=Label!A209,Label!B209,"not yet")</f>
        <v>Box Size Changed</v>
      </c>
    </row>
    <row r="210" spans="1:2" ht="13">
      <c r="A210" s="9" t="s">
        <v>245</v>
      </c>
      <c r="B210" s="2" t="str">
        <f>IF(A210=Label!A210,Label!B210,"not yet")</f>
        <v>OutOfScope: Cannot access</v>
      </c>
    </row>
    <row r="211" spans="1:2" ht="13">
      <c r="A211" s="9" t="s">
        <v>246</v>
      </c>
      <c r="B211" s="2" t="str">
        <f>IF(A211=Label!A211,Label!B211,"not yet")</f>
        <v>OutOfScope: New Story</v>
      </c>
    </row>
    <row r="212" spans="1:2" ht="13">
      <c r="A212" s="9" t="s">
        <v>247</v>
      </c>
      <c r="B212" s="2" t="str">
        <f>IF(A212=Label!A212,Label!B212,"not yet")</f>
        <v>Fragile Snapshot</v>
      </c>
    </row>
    <row r="213" spans="1:2" ht="13">
      <c r="A213" s="9" t="s">
        <v>248</v>
      </c>
      <c r="B213" s="2" t="str">
        <f>IF(A213=Label!A213,Label!B213,"not yet")</f>
        <v>OutOfScope: New Story</v>
      </c>
    </row>
    <row r="214" spans="1:2" ht="13">
      <c r="A214" s="9" t="s">
        <v>249</v>
      </c>
      <c r="B214" s="2" t="str">
        <f>IF(A214=Label!A214,Label!B214,"not yet")</f>
        <v>Text Disappeared</v>
      </c>
    </row>
    <row r="215" spans="1:2" ht="13">
      <c r="A215" s="9" t="s">
        <v>250</v>
      </c>
      <c r="B215" s="2" t="str">
        <f>IF(A215=Label!A215,Label!B215,"not yet")</f>
        <v>Text Color Changed</v>
      </c>
    </row>
    <row r="216" spans="1:2" ht="13">
      <c r="A216" s="9" t="s">
        <v>251</v>
      </c>
      <c r="B216" s="2" t="str">
        <f>IF(A216=Label!A216,Label!B216,"not yet")</f>
        <v>OutOfScope: Duplicates</v>
      </c>
    </row>
    <row r="217" spans="1:2" ht="13">
      <c r="A217" s="9" t="s">
        <v>252</v>
      </c>
      <c r="B217" s="2" t="str">
        <f>IF(A217=Label!A217,Label!B217,"not yet")</f>
        <v>OutOfScope: Cannot access</v>
      </c>
    </row>
    <row r="218" spans="1:2" ht="13">
      <c r="A218" s="9" t="s">
        <v>253</v>
      </c>
      <c r="B218" s="2" t="str">
        <f>IF(A218=Label!A218,Label!B218,"not yet")</f>
        <v>Box Size Changed</v>
      </c>
    </row>
    <row r="219" spans="1:2" ht="13">
      <c r="A219" s="9" t="s">
        <v>254</v>
      </c>
      <c r="B219" s="2" t="str">
        <f>IF(A219=Label!A219,Label!B219,"not yet")</f>
        <v>OutOfScope: Chromatic Error</v>
      </c>
    </row>
    <row r="220" spans="1:2" ht="13">
      <c r="A220" s="9" t="s">
        <v>255</v>
      </c>
      <c r="B220" s="2" t="str">
        <f>IF(A220=Label!A220,Label!B220,"not yet")</f>
        <v>Specific Items are Mis-aligned</v>
      </c>
    </row>
    <row r="221" spans="1:2" ht="13">
      <c r="A221" s="9" t="s">
        <v>256</v>
      </c>
      <c r="B221" s="2" t="str">
        <f>IF(A221=Label!A221,Label!B221,"not yet")</f>
        <v>Contents of Text Changed</v>
      </c>
    </row>
    <row r="222" spans="1:2" ht="13">
      <c r="A222" s="9" t="s">
        <v>257</v>
      </c>
      <c r="B222" s="2" t="str">
        <f>IF(A222=Label!A222,Label!B222,"not yet")</f>
        <v>New Contents</v>
      </c>
    </row>
    <row r="223" spans="1:2" ht="13">
      <c r="A223" s="9" t="s">
        <v>258</v>
      </c>
      <c r="B223" s="2" t="str">
        <f>IF(A223=Label!A223,Label!B223,"not yet")</f>
        <v>Size of Page/Header Changed</v>
      </c>
    </row>
    <row r="224" spans="1:2" ht="13">
      <c r="A224" s="9" t="s">
        <v>259</v>
      </c>
      <c r="B224" s="2" t="str">
        <f>IF(A224=Label!A224,Label!B224,"not yet")</f>
        <v>OutOfScope: Duplicates</v>
      </c>
    </row>
    <row r="225" spans="1:2" ht="13">
      <c r="A225" s="9" t="s">
        <v>260</v>
      </c>
      <c r="B225" s="2" t="str">
        <f>IF(A225=Label!A225,Label!B225,"not yet")</f>
        <v>OutOfScope: New Story</v>
      </c>
    </row>
    <row r="226" spans="1:2" ht="13">
      <c r="A226" s="9" t="s">
        <v>261</v>
      </c>
      <c r="B226" s="2" t="str">
        <f>IF(A226=Label!A226,Label!B226,"not yet")</f>
        <v>OutOfScope: New Story</v>
      </c>
    </row>
    <row r="227" spans="1:2" ht="13">
      <c r="A227" s="9" t="s">
        <v>262</v>
      </c>
      <c r="B227" s="2" t="str">
        <f>IF(A227=Label!A227,Label!B227,"not yet")</f>
        <v>Specific Items are Mis-aligned</v>
      </c>
    </row>
    <row r="228" spans="1:2" ht="13">
      <c r="A228" s="9" t="s">
        <v>263</v>
      </c>
      <c r="B228" s="2" t="str">
        <f>IF(A228=Label!A228,Label!B228,"not yet")</f>
        <v>Layout Shifted</v>
      </c>
    </row>
    <row r="229" spans="1:2" ht="13">
      <c r="A229" s="9" t="s">
        <v>264</v>
      </c>
      <c r="B229" s="2" t="str">
        <f>IF(A229=Label!A229,Label!B229,"not yet")</f>
        <v>Layout Shifted</v>
      </c>
    </row>
    <row r="230" spans="1:2" ht="13">
      <c r="A230" s="9" t="s">
        <v>265</v>
      </c>
      <c r="B230" s="2" t="str">
        <f>IF(A230=Label!A230,Label!B230,"not yet")</f>
        <v>OutOfScope: Duplicates</v>
      </c>
    </row>
    <row r="231" spans="1:2" ht="13">
      <c r="A231" s="9" t="s">
        <v>266</v>
      </c>
      <c r="B231" s="2" t="str">
        <f>IF(A231=Label!A231,Label!B231,"not yet")</f>
        <v>Text Color Changed</v>
      </c>
    </row>
    <row r="232" spans="1:2" ht="13">
      <c r="A232" s="9" t="s">
        <v>267</v>
      </c>
      <c r="B232" s="2" t="str">
        <f>IF(A232=Label!A232,Label!B232,"not yet")</f>
        <v>Box Size Changed</v>
      </c>
    </row>
    <row r="233" spans="1:2" ht="13">
      <c r="A233" s="9" t="s">
        <v>268</v>
      </c>
      <c r="B233" s="2" t="str">
        <f>IF(A233=Label!A233,Label!B233,"not yet")</f>
        <v>Text Color Changed</v>
      </c>
    </row>
    <row r="234" spans="1:2" ht="13">
      <c r="A234" s="9" t="s">
        <v>269</v>
      </c>
      <c r="B234" s="2" t="str">
        <f>IF(A234=Label!A234,Label!B234,"not yet")</f>
        <v>Box Shape Changed</v>
      </c>
    </row>
    <row r="235" spans="1:2" ht="13">
      <c r="A235" s="9" t="s">
        <v>270</v>
      </c>
      <c r="B235" s="2" t="str">
        <f>IF(A235=Label!A235,Label!B235,"not yet")</f>
        <v>Layout Shifted</v>
      </c>
    </row>
    <row r="236" spans="1:2" ht="13">
      <c r="A236" s="9" t="s">
        <v>271</v>
      </c>
      <c r="B236" s="2" t="str">
        <f>IF(A236=Label!A236,Label!B236,"not yet")</f>
        <v>Specific Items are Mis-aligned</v>
      </c>
    </row>
    <row r="237" spans="1:2" ht="13">
      <c r="A237" s="9" t="s">
        <v>272</v>
      </c>
      <c r="B237" s="2" t="str">
        <f>IF(A237=Label!A237,Label!B237,"not yet")</f>
        <v>Contents Disappeared</v>
      </c>
    </row>
    <row r="238" spans="1:2" ht="13">
      <c r="A238" s="9" t="s">
        <v>273</v>
      </c>
      <c r="B238" s="2" t="str">
        <f>IF(A238=Label!A238,Label!B238,"not yet")</f>
        <v>Border Color Changed</v>
      </c>
    </row>
    <row r="239" spans="1:2" ht="13">
      <c r="A239" s="9" t="s">
        <v>274</v>
      </c>
      <c r="B239" s="2" t="str">
        <f>IF(A239=Label!A239,Label!B239,"not yet")</f>
        <v>OutOfScope: Cannot access</v>
      </c>
    </row>
    <row r="240" spans="1:2" ht="13">
      <c r="A240" s="9" t="s">
        <v>275</v>
      </c>
      <c r="B240" s="2" t="str">
        <f>IF(A240=Label!A240,Label!B240,"not yet")</f>
        <v>Specific Items are Mis-aligned</v>
      </c>
    </row>
    <row r="241" spans="1:2" ht="13">
      <c r="A241" s="9" t="s">
        <v>276</v>
      </c>
      <c r="B241" s="2" t="str">
        <f>IF(A241=Label!A241,Label!B241,"not yet")</f>
        <v>OutOfScope: New Story</v>
      </c>
    </row>
    <row r="242" spans="1:2" ht="13">
      <c r="A242" s="9" t="s">
        <v>277</v>
      </c>
      <c r="B242" s="2" t="str">
        <f>IF(A242=Label!A242,Label!B242,"not yet")</f>
        <v>OutOfScope: New Story</v>
      </c>
    </row>
    <row r="243" spans="1:2" ht="13">
      <c r="A243" s="9" t="s">
        <v>278</v>
      </c>
      <c r="B243" s="2" t="str">
        <f>IF(A243=Label!A243,Label!B243,"not yet")</f>
        <v>OutOfScope: Duplicates</v>
      </c>
    </row>
    <row r="244" spans="1:2" ht="13">
      <c r="A244" s="9" t="s">
        <v>279</v>
      </c>
      <c r="B244" s="2" t="str">
        <f>IF(A244=Label!A244,Label!B244,"not yet")</f>
        <v>Layout Shifted</v>
      </c>
    </row>
    <row r="245" spans="1:2" ht="13">
      <c r="A245" s="9" t="s">
        <v>280</v>
      </c>
      <c r="B245" s="2" t="str">
        <f>IF(A245=Label!A245,Label!B245,"not yet")</f>
        <v>OutOfScope: Duplicates</v>
      </c>
    </row>
    <row r="246" spans="1:2" ht="13">
      <c r="A246" s="9" t="s">
        <v>281</v>
      </c>
      <c r="B246" s="2" t="str">
        <f>IF(A246=Label!A246,Label!B246,"not yet")</f>
        <v>OutOfScope: Duplicates</v>
      </c>
    </row>
    <row r="247" spans="1:2" ht="13">
      <c r="A247" s="9" t="s">
        <v>282</v>
      </c>
      <c r="B247" s="2" t="str">
        <f>IF(A247=Label!A247,Label!B247,"not yet")</f>
        <v>Box Size Changed</v>
      </c>
    </row>
    <row r="248" spans="1:2" ht="13">
      <c r="A248" s="9" t="s">
        <v>283</v>
      </c>
      <c r="B248" s="2" t="str">
        <f>IF(A248=Label!A248,Label!B248,"not yet")</f>
        <v>Box Size Changed</v>
      </c>
    </row>
    <row r="249" spans="1:2" ht="13">
      <c r="A249" s="9" t="s">
        <v>284</v>
      </c>
      <c r="B249" s="2" t="str">
        <f>IF(A249=Label!A249,Label!B249,"not yet")</f>
        <v>OutOfScope: Duplicates</v>
      </c>
    </row>
    <row r="250" spans="1:2" ht="13">
      <c r="A250" s="9" t="s">
        <v>285</v>
      </c>
      <c r="B250" s="2" t="str">
        <f>IF(A250=Label!A250,Label!B250,"not yet")</f>
        <v>Fragile Snapshot</v>
      </c>
    </row>
    <row r="251" spans="1:2" ht="13">
      <c r="A251" s="9" t="s">
        <v>286</v>
      </c>
      <c r="B251" s="2" t="str">
        <f>IF(A251=Label!A251,Label!B251,"not yet")</f>
        <v>Box Shape Changed</v>
      </c>
    </row>
    <row r="252" spans="1:2" ht="13">
      <c r="A252" s="9" t="s">
        <v>287</v>
      </c>
      <c r="B252" s="2" t="str">
        <f>IF(A252=Label!A252,Label!B252,"not yet")</f>
        <v>Text Size Changed</v>
      </c>
    </row>
    <row r="253" spans="1:2" ht="13">
      <c r="A253" s="9" t="s">
        <v>288</v>
      </c>
      <c r="B253" s="2" t="str">
        <f>IF(A253=Label!A253,Label!B253,"not yet")</f>
        <v>Layout Changed</v>
      </c>
    </row>
    <row r="254" spans="1:2" ht="13">
      <c r="A254" s="9" t="s">
        <v>289</v>
      </c>
      <c r="B254" s="2" t="str">
        <f>IF(A254=Label!A254,Label!B254,"not yet")</f>
        <v>OutOfScope: Duplicates</v>
      </c>
    </row>
    <row r="255" spans="1:2" ht="13">
      <c r="A255" s="9" t="s">
        <v>290</v>
      </c>
      <c r="B255" s="2" t="str">
        <f>IF(A255=Label!A255,Label!B255,"not yet")</f>
        <v>OutOfScope: Not VRT Discussion</v>
      </c>
    </row>
    <row r="256" spans="1:2" ht="13">
      <c r="A256" s="9" t="s">
        <v>291</v>
      </c>
      <c r="B256" s="2" t="str">
        <f>IF(A256=Label!A256,Label!B256,"not yet")</f>
        <v>OutOfScope: Duplicates</v>
      </c>
    </row>
    <row r="257" spans="1:2" ht="13">
      <c r="A257" s="9" t="s">
        <v>292</v>
      </c>
      <c r="B257" s="2" t="str">
        <f>IF(A257=Label!A257,Label!B257,"not yet")</f>
        <v>Box Color Changed</v>
      </c>
    </row>
    <row r="258" spans="1:2" ht="13">
      <c r="A258" s="9" t="s">
        <v>293</v>
      </c>
      <c r="B258" s="2" t="str">
        <f>IF(A258=Label!A258,Label!B258,"not yet")</f>
        <v>Box Size Changed</v>
      </c>
    </row>
    <row r="259" spans="1:2" ht="13">
      <c r="A259" s="9" t="s">
        <v>294</v>
      </c>
      <c r="B259" s="2" t="str">
        <f>IF(A259=Label!A259,Label!B259,"not yet")</f>
        <v>OutOfScope: Duplicates</v>
      </c>
    </row>
    <row r="260" spans="1:2" ht="13">
      <c r="A260" s="9" t="s">
        <v>295</v>
      </c>
      <c r="B260" s="2" t="str">
        <f>IF(A260=Label!A260,Label!B260,"not yet")</f>
        <v>OutOfScope: Duplicates</v>
      </c>
    </row>
    <row r="261" spans="1:2" ht="13">
      <c r="A261" s="9" t="s">
        <v>296</v>
      </c>
      <c r="B261" s="2" t="str">
        <f>IF(A261=Label!A261,Label!B261,"not yet")</f>
        <v>OutOfScope: Not VRT Discussion</v>
      </c>
    </row>
    <row r="262" spans="1:2" ht="13">
      <c r="A262" s="9" t="s">
        <v>297</v>
      </c>
      <c r="B262" s="2" t="str">
        <f>IF(A262=Label!A262,Label!B262,"not yet")</f>
        <v>Box Color Changed</v>
      </c>
    </row>
    <row r="263" spans="1:2" ht="13">
      <c r="A263" s="9" t="s">
        <v>298</v>
      </c>
      <c r="B263" s="2" t="str">
        <f>IF(A263=Label!A263,Label!B263,"not yet")</f>
        <v>No or Few Visual Diffrences Detected</v>
      </c>
    </row>
    <row r="264" spans="1:2" ht="13">
      <c r="A264" s="9" t="s">
        <v>299</v>
      </c>
      <c r="B264" s="2" t="str">
        <f>IF(A264=Label!A264,Label!B264,"not yet")</f>
        <v>Box Size Changed</v>
      </c>
    </row>
    <row r="265" spans="1:2" ht="13">
      <c r="A265" s="9" t="s">
        <v>300</v>
      </c>
      <c r="B265" s="2" t="str">
        <f>IF(A265=Label!A265,Label!B265,"not yet")</f>
        <v>Image Adjusted</v>
      </c>
    </row>
    <row r="266" spans="1:2" ht="13">
      <c r="A266" s="9" t="s">
        <v>301</v>
      </c>
      <c r="B266" s="2" t="str">
        <f>IF(A266=Label!A266,Label!B266,"not yet")</f>
        <v>Image Adjusted</v>
      </c>
    </row>
    <row r="267" spans="1:2" ht="13">
      <c r="A267" s="9" t="s">
        <v>302</v>
      </c>
      <c r="B267" s="2" t="str">
        <f>IF(A267=Label!A267,Label!B267,"not yet")</f>
        <v>Box Shape Changed</v>
      </c>
    </row>
    <row r="268" spans="1:2" ht="13">
      <c r="A268" s="9" t="s">
        <v>303</v>
      </c>
      <c r="B268" s="2" t="str">
        <f>IF(A268=Label!A268,Label!B268,"not yet")</f>
        <v>OutOfScope: Duplicates</v>
      </c>
    </row>
    <row r="269" spans="1:2" ht="13">
      <c r="A269" s="9" t="s">
        <v>304</v>
      </c>
      <c r="B269" s="2" t="str">
        <f>IF(A269=Label!A269,Label!B269,"not yet")</f>
        <v>Box Size Changed</v>
      </c>
    </row>
    <row r="270" spans="1:2" ht="13">
      <c r="A270" s="9" t="s">
        <v>305</v>
      </c>
      <c r="B270" s="2" t="str">
        <f>IF(A270=Label!A270,Label!B270,"not yet")</f>
        <v>OutOfScope: Duplicates</v>
      </c>
    </row>
    <row r="271" spans="1:2" ht="13">
      <c r="A271" s="9" t="s">
        <v>306</v>
      </c>
      <c r="B271" s="2" t="str">
        <f>IF(A271=Label!A271,Label!B271,"not yet")</f>
        <v>Image Adjusted</v>
      </c>
    </row>
    <row r="272" spans="1:2" ht="13">
      <c r="A272" s="9" t="s">
        <v>307</v>
      </c>
      <c r="B272" s="2" t="str">
        <f>IF(A272=Label!A272,Label!B272,"not yet")</f>
        <v>Contents of Text Changed</v>
      </c>
    </row>
    <row r="273" spans="1:2" ht="13">
      <c r="A273" s="9" t="s">
        <v>308</v>
      </c>
      <c r="B273" s="2" t="str">
        <f>IF(A273=Label!A273,Label!B273,"not yet")</f>
        <v>Layout Changed</v>
      </c>
    </row>
    <row r="274" spans="1:2" ht="13">
      <c r="A274" s="9" t="s">
        <v>309</v>
      </c>
      <c r="B274" s="2" t="str">
        <f>IF(A274=Label!A274,Label!B274,"not yet")</f>
        <v>OutOfScope: Duplicates</v>
      </c>
    </row>
    <row r="275" spans="1:2" ht="13">
      <c r="A275" s="9" t="s">
        <v>310</v>
      </c>
      <c r="B275" s="2" t="str">
        <f>IF(A275=Label!A275,Label!B275,"not yet")</f>
        <v>OutOfScope: Duplicates</v>
      </c>
    </row>
    <row r="276" spans="1:2" ht="13">
      <c r="A276" s="9" t="s">
        <v>311</v>
      </c>
      <c r="B276" s="2" t="str">
        <f>IF(A276=Label!A276,Label!B276,"not yet")</f>
        <v>OutOfScope: Duplicates</v>
      </c>
    </row>
    <row r="277" spans="1:2" ht="13">
      <c r="A277" s="9" t="s">
        <v>312</v>
      </c>
      <c r="B277" s="2" t="str">
        <f>IF(A277=Label!A277,Label!B277,"not yet")</f>
        <v>Layout Changed</v>
      </c>
    </row>
    <row r="278" spans="1:2" ht="13">
      <c r="A278" s="9" t="s">
        <v>313</v>
      </c>
      <c r="B278" s="2" t="str">
        <f>IF(A278=Label!A278,Label!B278,"not yet")</f>
        <v>OutOfScope: Duplicates</v>
      </c>
    </row>
    <row r="279" spans="1:2" ht="13">
      <c r="A279" s="9" t="s">
        <v>314</v>
      </c>
      <c r="B279" s="2" t="str">
        <f>IF(A279=Label!A279,Label!B279,"not yet")</f>
        <v>Layout Changed</v>
      </c>
    </row>
    <row r="280" spans="1:2" ht="13">
      <c r="A280" s="9" t="s">
        <v>315</v>
      </c>
      <c r="B280" s="2" t="str">
        <f>IF(A280=Label!A280,Label!B280,"not yet")</f>
        <v>Layout Shifted</v>
      </c>
    </row>
    <row r="281" spans="1:2" ht="13">
      <c r="A281" s="9" t="s">
        <v>316</v>
      </c>
      <c r="B281" s="2" t="str">
        <f>IF(A281=Label!A281,Label!B281,"not yet")</f>
        <v>New Contents</v>
      </c>
    </row>
    <row r="282" spans="1:2" ht="13">
      <c r="A282" s="9" t="s">
        <v>317</v>
      </c>
      <c r="B282" s="2" t="str">
        <f>IF(A282=Label!A282,Label!B282,"not yet")</f>
        <v>OutOfScope: New Story</v>
      </c>
    </row>
    <row r="283" spans="1:2" ht="13">
      <c r="A283" s="9" t="s">
        <v>318</v>
      </c>
      <c r="B283" s="2" t="str">
        <f>IF(A283=Label!A283,Label!B283,"not yet")</f>
        <v>OutOfScope: New Story</v>
      </c>
    </row>
    <row r="284" spans="1:2" ht="13">
      <c r="A284" s="9" t="s">
        <v>319</v>
      </c>
      <c r="B284" s="2" t="str">
        <f>IF(A284=Label!A284,Label!B284,"not yet")</f>
        <v>Box Shape Changed</v>
      </c>
    </row>
    <row r="285" spans="1:2" ht="13">
      <c r="A285" s="9" t="s">
        <v>320</v>
      </c>
      <c r="B285" s="2" t="str">
        <f>IF(A285=Label!A285,Label!B285,"not yet")</f>
        <v>Layout Shifted</v>
      </c>
    </row>
    <row r="286" spans="1:2" ht="13">
      <c r="A286" s="9" t="s">
        <v>321</v>
      </c>
      <c r="B286" s="2" t="str">
        <f>IF(A286=Label!A286,Label!B286,"not yet")</f>
        <v>Layout Changed</v>
      </c>
    </row>
    <row r="287" spans="1:2" ht="13">
      <c r="A287" s="9" t="s">
        <v>322</v>
      </c>
      <c r="B287" s="2" t="str">
        <f>IF(A287=Label!A287,Label!B287,"not yet")</f>
        <v>OutOfScope: Chromatic Error</v>
      </c>
    </row>
    <row r="288" spans="1:2" ht="13">
      <c r="A288" s="9" t="s">
        <v>323</v>
      </c>
      <c r="B288" s="2" t="str">
        <f>IF(A288=Label!A288,Label!B288,"not yet")</f>
        <v>Size of Page/Header Changed</v>
      </c>
    </row>
    <row r="289" spans="1:2" ht="13">
      <c r="A289" s="9" t="s">
        <v>324</v>
      </c>
      <c r="B289" s="2" t="str">
        <f>IF(A289=Label!A289,Label!B289,"not yet")</f>
        <v>Layout Shifted</v>
      </c>
    </row>
    <row r="290" spans="1:2" ht="13">
      <c r="A290" s="9" t="s">
        <v>325</v>
      </c>
      <c r="B290" s="2" t="str">
        <f>IF(A290=Label!A290,Label!B290,"not yet")</f>
        <v>Box Disappeared</v>
      </c>
    </row>
    <row r="291" spans="1:2" ht="13">
      <c r="A291" s="9" t="s">
        <v>326</v>
      </c>
      <c r="B291" s="2" t="str">
        <f>IF(A291=Label!A291,Label!B291,"not yet")</f>
        <v>OutOfScope: Duplicates</v>
      </c>
    </row>
    <row r="292" spans="1:2" ht="13">
      <c r="A292" s="9" t="s">
        <v>327</v>
      </c>
      <c r="B292" s="2" t="str">
        <f>IF(A292=Label!A292,Label!B292,"not yet")</f>
        <v>Layout Shifted</v>
      </c>
    </row>
    <row r="293" spans="1:2" ht="13">
      <c r="A293" s="9" t="s">
        <v>328</v>
      </c>
      <c r="B293" s="2" t="str">
        <f>IF(A293=Label!A293,Label!B293,"not yet")</f>
        <v>OutOfScope: New Story</v>
      </c>
    </row>
    <row r="294" spans="1:2" ht="13">
      <c r="A294" s="9" t="s">
        <v>329</v>
      </c>
      <c r="B294" s="2" t="str">
        <f>IF(A294=Label!A294,Label!B294,"not yet")</f>
        <v>Border Disappeared</v>
      </c>
    </row>
    <row r="295" spans="1:2" ht="13">
      <c r="A295" s="9" t="s">
        <v>330</v>
      </c>
      <c r="B295" s="2" t="str">
        <f>IF(A295=Label!A295,Label!B295,"not yet")</f>
        <v>No or Few Visual Diffrences Detected</v>
      </c>
    </row>
    <row r="296" spans="1:2" ht="13">
      <c r="A296" s="9" t="s">
        <v>331</v>
      </c>
      <c r="B296" s="2" t="str">
        <f>IF(A296=Label!A296,Label!B296,"not yet")</f>
        <v>OutOfScope: New Story</v>
      </c>
    </row>
    <row r="297" spans="1:2" ht="13">
      <c r="A297" s="9" t="s">
        <v>332</v>
      </c>
      <c r="B297" s="2" t="str">
        <f>IF(A297=Label!A297,Label!B297,"not yet")</f>
        <v>Size of Page/Header Changed</v>
      </c>
    </row>
    <row r="298" spans="1:2" ht="13">
      <c r="A298" s="9" t="s">
        <v>333</v>
      </c>
      <c r="B298" s="2" t="str">
        <f>IF(A298=Label!A298,Label!B298,"not yet")</f>
        <v>OutOfScope: New Story</v>
      </c>
    </row>
    <row r="299" spans="1:2" ht="13">
      <c r="A299" s="9" t="s">
        <v>334</v>
      </c>
      <c r="B299" s="2" t="str">
        <f>IF(A299=Label!A299,Label!B299,"not yet")</f>
        <v>Undefined/Wrong State is Shown</v>
      </c>
    </row>
    <row r="300" spans="1:2" ht="13">
      <c r="A300" s="9" t="s">
        <v>335</v>
      </c>
      <c r="B300" s="2" t="str">
        <f>IF(A300=Label!A300,Label!B300,"not yet")</f>
        <v>OutOfScope: New Story</v>
      </c>
    </row>
    <row r="301" spans="1:2" ht="13">
      <c r="A301" s="9" t="s">
        <v>336</v>
      </c>
      <c r="B301" s="2" t="str">
        <f>IF(A301=Label!A301,Label!B301,"not yet")</f>
        <v>No or Few Visual Diffrences Detected</v>
      </c>
    </row>
    <row r="302" spans="1:2" ht="13">
      <c r="A302" s="9" t="s">
        <v>337</v>
      </c>
      <c r="B302" s="2" t="str">
        <f>IF(A302=Label!A302,Label!B302,"not yet")</f>
        <v>New Buttons</v>
      </c>
    </row>
    <row r="303" spans="1:2" ht="13">
      <c r="A303" s="9" t="s">
        <v>338</v>
      </c>
      <c r="B303" s="2" t="str">
        <f>IF(A303=Label!A303,Label!B303,"not yet")</f>
        <v>Layout Changed</v>
      </c>
    </row>
    <row r="304" spans="1:2" ht="13">
      <c r="A304" s="9" t="s">
        <v>339</v>
      </c>
      <c r="B304" s="2" t="str">
        <f>IF(A304=Label!A304,Label!B304,"not yet")</f>
        <v>Text Disappeared</v>
      </c>
    </row>
    <row r="305" spans="1:3" ht="13">
      <c r="A305" s="9" t="s">
        <v>340</v>
      </c>
      <c r="B305" s="2" t="str">
        <f>IF(A305=Label!A305,Label!B305,"not yet")</f>
        <v>OutOfScope: Cannot access</v>
      </c>
    </row>
    <row r="306" spans="1:3" ht="13">
      <c r="A306" s="9" t="s">
        <v>341</v>
      </c>
      <c r="B306" s="2" t="str">
        <f>IF(A306=Label!A306,Label!B306,"not yet")</f>
        <v>Contents Disappeared</v>
      </c>
    </row>
    <row r="307" spans="1:3" ht="13">
      <c r="A307" s="9" t="s">
        <v>342</v>
      </c>
      <c r="B307" s="2" t="str">
        <f>IF(A307=Label!A307,Label!B307,"not yet")</f>
        <v>Box Size Changed</v>
      </c>
    </row>
    <row r="308" spans="1:3" ht="13">
      <c r="A308" s="9" t="s">
        <v>343</v>
      </c>
      <c r="B308" s="2" t="str">
        <f>IF(A308=Label!A308,Label!B308,"not yet")</f>
        <v>OutOfScope: New Story</v>
      </c>
    </row>
    <row r="309" spans="1:3" ht="13">
      <c r="A309" s="9" t="s">
        <v>344</v>
      </c>
      <c r="B309" s="2" t="str">
        <f>IF(A309=Label!A309,Label!B309,"not yet")</f>
        <v>OutOfScope: Duplicates</v>
      </c>
    </row>
    <row r="310" spans="1:3" ht="13">
      <c r="A310" s="9" t="s">
        <v>191</v>
      </c>
      <c r="B310" s="2" t="e">
        <f>IF(A310=#REF!,#REF!,"no")</f>
        <v>#REF!</v>
      </c>
      <c r="C310" s="2" t="e">
        <f>IF(A310=#REF!,#REF!,"no")</f>
        <v>#REF!</v>
      </c>
    </row>
    <row r="311" spans="1:3" ht="13">
      <c r="A311" s="9" t="s">
        <v>345</v>
      </c>
      <c r="B311" s="2" t="str">
        <f>IF(A311=Conflict!A2,Conflict!I2,"no")</f>
        <v>OutOfScope: Not VRT Discussion</v>
      </c>
      <c r="C311" s="2">
        <f>IF(A311=Conflict!A2,Conflict!J2,"no")</f>
        <v>0</v>
      </c>
    </row>
    <row r="312" spans="1:3" ht="13">
      <c r="A312" s="9" t="s">
        <v>192</v>
      </c>
      <c r="B312" s="2" t="e">
        <f>IF(A312=#REF!,#REF!,"no")</f>
        <v>#REF!</v>
      </c>
      <c r="C312" s="2" t="e">
        <f>IF(A312=#REF!,#REF!,"no")</f>
        <v>#REF!</v>
      </c>
    </row>
    <row r="313" spans="1:3" ht="13">
      <c r="A313" s="9" t="s">
        <v>346</v>
      </c>
      <c r="B313" s="2" t="str">
        <f>IF(A313=Conflict!A3,Conflict!I3,"no")</f>
        <v>OutOfScope: Duplicates</v>
      </c>
      <c r="C313" s="2">
        <f>IF(A313=Conflict!A3,Conflict!J3,"no")</f>
        <v>0</v>
      </c>
    </row>
    <row r="314" spans="1:3" ht="13">
      <c r="A314" s="9" t="s">
        <v>347</v>
      </c>
      <c r="B314" s="2" t="str">
        <f>IF(A314=Conflict!A4,Conflict!I4,"no")</f>
        <v>OutOfScope: Duplicates</v>
      </c>
      <c r="C314" s="2">
        <f>IF(A314=Conflict!A4,Conflict!J4,"no")</f>
        <v>0</v>
      </c>
    </row>
    <row r="315" spans="1:3" ht="13">
      <c r="A315" s="9" t="s">
        <v>348</v>
      </c>
      <c r="B315" s="2" t="str">
        <f>IF(A315=Conflict!A5,Conflict!I5,"no")</f>
        <v>Box Size Changed</v>
      </c>
      <c r="C315" s="2">
        <f>IF(A315=Conflict!A5,Conflict!J5,"no")</f>
        <v>0</v>
      </c>
    </row>
    <row r="316" spans="1:3" ht="13">
      <c r="A316" s="9" t="s">
        <v>349</v>
      </c>
      <c r="B316" s="2" t="str">
        <f>IF(A316=Conflict!A6,Conflict!I6,"no")</f>
        <v>OutOfScope: New Story</v>
      </c>
      <c r="C316" s="2">
        <f>IF(A316=Conflict!A6,Conflict!J6,"no")</f>
        <v>0</v>
      </c>
    </row>
    <row r="317" spans="1:3" ht="13">
      <c r="A317" s="9" t="s">
        <v>350</v>
      </c>
      <c r="B317" s="2" t="str">
        <f>IF(A317=Conflict!A7,Conflict!I7,"no")</f>
        <v>OutOfScope: New Story</v>
      </c>
      <c r="C317" s="2">
        <f>IF(A317=Conflict!A7,Conflict!J7,"no")</f>
        <v>0</v>
      </c>
    </row>
    <row r="318" spans="1:3" ht="13">
      <c r="A318" s="9" t="s">
        <v>351</v>
      </c>
      <c r="B318" s="2" t="str">
        <f>IF(A318=Conflict!A8,Conflict!I8,"no")</f>
        <v>Contents of Text Changed</v>
      </c>
      <c r="C318" s="2">
        <f>IF(A318=Conflict!A8,Conflict!J8,"no")</f>
        <v>0</v>
      </c>
    </row>
    <row r="319" spans="1:3" ht="13">
      <c r="A319" s="9" t="s">
        <v>352</v>
      </c>
      <c r="B319" s="2" t="str">
        <f>IF(A319=Conflict!A9,Conflict!I9,"no")</f>
        <v>No or Few Visual Diffrences Detected</v>
      </c>
      <c r="C319" s="2">
        <f>IF(A319=Conflict!A9,Conflict!J9,"no")</f>
        <v>0</v>
      </c>
    </row>
    <row r="320" spans="1:3" ht="13">
      <c r="A320" s="9" t="s">
        <v>353</v>
      </c>
      <c r="B320" s="2" t="str">
        <f>IF(A320=Conflict!A10,Conflict!I10,"no")</f>
        <v>Border Color Changed</v>
      </c>
      <c r="C320" s="2">
        <f>IF(A320=Conflict!A10,Conflict!J10,"no")</f>
        <v>0</v>
      </c>
    </row>
    <row r="321" spans="1:3" ht="13">
      <c r="A321" s="9" t="s">
        <v>354</v>
      </c>
      <c r="B321" s="2" t="str">
        <f>IF(A321=Conflict!A11,Conflict!I11,"no")</f>
        <v>OutOfScope: New Story</v>
      </c>
      <c r="C321" s="2">
        <f>IF(A321=Conflict!A11,Conflict!J11,"no")</f>
        <v>0</v>
      </c>
    </row>
    <row r="322" spans="1:3" ht="13">
      <c r="A322" s="9" t="s">
        <v>355</v>
      </c>
      <c r="B322" s="2" t="str">
        <f>IF(A322=Conflict!A12,Conflict!I12,"no")</f>
        <v>New Contents</v>
      </c>
      <c r="C322" s="2" t="str">
        <f>IF(A322=Conflict!A12,Conflict!J12,"no")</f>
        <v>Box Color Changed</v>
      </c>
    </row>
    <row r="323" spans="1:3" ht="13">
      <c r="A323" s="9" t="s">
        <v>356</v>
      </c>
      <c r="B323" s="2" t="str">
        <f>IF(A323=Conflict!A13,Conflict!I13,"no")</f>
        <v>Layout Shifted</v>
      </c>
      <c r="C323" s="2">
        <f>IF(A323=Conflict!A13,Conflict!J13,"no")</f>
        <v>0</v>
      </c>
    </row>
    <row r="324" spans="1:3" ht="13">
      <c r="A324" s="9" t="s">
        <v>357</v>
      </c>
      <c r="B324" s="2" t="str">
        <f>IF(A324=Conflict!A14,Conflict!I14,"no")</f>
        <v>OutOfScope: Duplicates</v>
      </c>
      <c r="C324" s="2">
        <f>IF(A324=Conflict!A14,Conflict!J14,"no")</f>
        <v>0</v>
      </c>
    </row>
    <row r="325" spans="1:3" ht="13">
      <c r="A325" s="9" t="s">
        <v>358</v>
      </c>
      <c r="B325" s="2" t="str">
        <f>IF(A325=Conflict!A15,Conflict!I15,"no")</f>
        <v>Layout Shifted</v>
      </c>
      <c r="C325" s="2">
        <f>IF(A325=Conflict!A15,Conflict!J15,"no")</f>
        <v>0</v>
      </c>
    </row>
    <row r="326" spans="1:3" ht="13">
      <c r="A326" s="9" t="s">
        <v>359</v>
      </c>
      <c r="B326" s="2" t="str">
        <f>IF(A326=Conflict!A16,Conflict!I16,"no")</f>
        <v>Layout Shifted</v>
      </c>
      <c r="C326" s="2">
        <f>IF(A326=Conflict!A16,Conflict!J16,"no")</f>
        <v>0</v>
      </c>
    </row>
    <row r="327" spans="1:3" ht="13">
      <c r="A327" s="9" t="s">
        <v>360</v>
      </c>
      <c r="B327" s="2" t="str">
        <f>IF(A327=Conflict!A17,Conflict!I17,"no")</f>
        <v>OutOfScope: New Story</v>
      </c>
      <c r="C327" s="2">
        <f>IF(A327=Conflict!A17,Conflict!J17,"no")</f>
        <v>0</v>
      </c>
    </row>
    <row r="328" spans="1:3" ht="13">
      <c r="A328" s="9" t="s">
        <v>361</v>
      </c>
      <c r="B328" s="2" t="str">
        <f>IF(A328=Conflict!A18,Conflict!I18,"no")</f>
        <v>OutOfScope: New Story</v>
      </c>
      <c r="C328" s="2">
        <f>IF(A328=Conflict!A18,Conflict!J18,"no")</f>
        <v>0</v>
      </c>
    </row>
    <row r="329" spans="1:3" ht="13">
      <c r="A329" s="9" t="s">
        <v>362</v>
      </c>
      <c r="B329" s="2" t="str">
        <f>IF(A329=Conflict!A19,Conflict!I19,"no")</f>
        <v>OutOfScope: New Story</v>
      </c>
      <c r="C329" s="2">
        <f>IF(A329=Conflict!A19,Conflict!J19,"no")</f>
        <v>0</v>
      </c>
    </row>
    <row r="330" spans="1:3" ht="13">
      <c r="A330" s="9" t="s">
        <v>363</v>
      </c>
      <c r="B330" s="2" t="str">
        <f>IF(A330=Conflict!A20,Conflict!I20,"no")</f>
        <v>OutOfScope: New Story</v>
      </c>
      <c r="C330" s="2">
        <f>IF(A330=Conflict!A20,Conflict!J20,"no")</f>
        <v>0</v>
      </c>
    </row>
    <row r="331" spans="1:3" ht="13">
      <c r="A331" s="9" t="s">
        <v>364</v>
      </c>
      <c r="B331" s="2" t="str">
        <f>IF(A331=Conflict!A21,Conflict!I21,"no")</f>
        <v>OutOfScope: Chromatic Error</v>
      </c>
      <c r="C331" s="2">
        <f>IF(A331=Conflict!A21,Conflict!J21,"no")</f>
        <v>0</v>
      </c>
    </row>
    <row r="332" spans="1:3" ht="13">
      <c r="A332" s="9" t="s">
        <v>365</v>
      </c>
      <c r="B332" s="2" t="str">
        <f>IF(A332=Conflict!A22,Conflict!I22,"no")</f>
        <v>OutOfScope: New Story</v>
      </c>
      <c r="C332" s="2">
        <f>IF(A332=Conflict!A22,Conflict!J22,"no")</f>
        <v>0</v>
      </c>
    </row>
    <row r="333" spans="1:3" ht="13">
      <c r="A333" s="9" t="s">
        <v>366</v>
      </c>
      <c r="B333" s="2" t="str">
        <f>IF(A333=Conflict!A23,Conflict!I23,"no")</f>
        <v>Undefined/Wrong State is Shown</v>
      </c>
      <c r="C333" s="2">
        <f>IF(A333=Conflict!A23,Conflict!J23,"no")</f>
        <v>0</v>
      </c>
    </row>
    <row r="334" spans="1:3" ht="13">
      <c r="A334" s="9" t="s">
        <v>367</v>
      </c>
      <c r="B334" s="2" t="str">
        <f>IF(A334=Conflict!A24,Conflict!I24,"no")</f>
        <v>Layout Shifted</v>
      </c>
      <c r="C334" s="2">
        <f>IF(A334=Conflict!A24,Conflict!J24,"no")</f>
        <v>0</v>
      </c>
    </row>
    <row r="335" spans="1:3" ht="13">
      <c r="A335" s="9" t="s">
        <v>368</v>
      </c>
      <c r="B335" s="2" t="str">
        <f>IF(A335=Conflict!A25,Conflict!I25,"no")</f>
        <v>OutOfScope: Not VRT Discussion</v>
      </c>
      <c r="C335" s="2">
        <f>IF(A335=Conflict!A25,Conflict!J25,"no")</f>
        <v>0</v>
      </c>
    </row>
    <row r="336" spans="1:3" ht="13">
      <c r="A336" s="9" t="s">
        <v>369</v>
      </c>
      <c r="B336" s="2" t="str">
        <f>IF(A336=Conflict!A26,Conflict!I26,"no")</f>
        <v>OutOfScope: New Story</v>
      </c>
      <c r="C336" s="2">
        <f>IF(A336=Conflict!A26,Conflict!J26,"no")</f>
        <v>0</v>
      </c>
    </row>
    <row r="337" spans="1:3" ht="13">
      <c r="A337" s="9" t="s">
        <v>370</v>
      </c>
      <c r="B337" s="2" t="str">
        <f>IF(A337=Conflict!A27,Conflict!I27,"no")</f>
        <v>Layout Shifted</v>
      </c>
      <c r="C337" s="2" t="str">
        <f>IF(A337=Conflict!A27,Conflict!J27,"no")</f>
        <v>New Contents</v>
      </c>
    </row>
    <row r="338" spans="1:3" ht="13">
      <c r="A338" s="9" t="s">
        <v>371</v>
      </c>
      <c r="B338" s="2" t="str">
        <f>IF(A338=Conflict!A28,Conflict!I28,"no")</f>
        <v>Layout Shifted</v>
      </c>
      <c r="C338" s="2">
        <f>IF(A338=Conflict!A28,Conflict!J28,"no")</f>
        <v>0</v>
      </c>
    </row>
    <row r="339" spans="1:3" ht="13">
      <c r="A339" s="9" t="s">
        <v>372</v>
      </c>
      <c r="B339" s="2" t="str">
        <f>IF(A339=Conflict!A29,Conflict!I29,"no")</f>
        <v>Box Color Changed</v>
      </c>
      <c r="C339" s="2">
        <f>IF(A339=Conflict!A29,Conflict!J29,"no")</f>
        <v>0</v>
      </c>
    </row>
    <row r="340" spans="1:3" ht="13">
      <c r="A340" s="9" t="s">
        <v>373</v>
      </c>
      <c r="B340" s="2" t="str">
        <f>IF(A340=Conflict!A30,Conflict!I30,"no")</f>
        <v>Border Color Changed</v>
      </c>
      <c r="C340" s="2">
        <f>IF(A340=Conflict!A30,Conflict!J30,"no")</f>
        <v>0</v>
      </c>
    </row>
    <row r="341" spans="1:3" ht="13">
      <c r="A341" s="9" t="s">
        <v>374</v>
      </c>
      <c r="B341" s="2" t="str">
        <f>IF(A341=Conflict!A31,Conflict!I31,"no")</f>
        <v>OutOfScope: Chromatic Error</v>
      </c>
      <c r="C341" s="2">
        <f>IF(A341=Conflict!A31,Conflict!J31,"no")</f>
        <v>0</v>
      </c>
    </row>
    <row r="342" spans="1:3" ht="13">
      <c r="A342" s="9" t="s">
        <v>375</v>
      </c>
      <c r="B342" s="2" t="str">
        <f>IF(A342=Conflict!A32,Conflict!I32,"no")</f>
        <v>Layout Shifted</v>
      </c>
      <c r="C342" s="2">
        <f>IF(A342=Conflict!A32,Conflict!J32,"no")</f>
        <v>0</v>
      </c>
    </row>
    <row r="343" spans="1:3" ht="13">
      <c r="A343" s="9" t="s">
        <v>376</v>
      </c>
      <c r="B343" s="2" t="str">
        <f>IF(A343=Conflict!A33,Conflict!I33,"no")</f>
        <v>Layout Changed</v>
      </c>
      <c r="C343" s="2">
        <f>IF(A343=Conflict!A33,Conflict!J33,"no")</f>
        <v>0</v>
      </c>
    </row>
    <row r="344" spans="1:3" ht="13">
      <c r="A344" s="9" t="s">
        <v>377</v>
      </c>
      <c r="B344" s="2" t="str">
        <f>IF(A344=Conflict!A34,Conflict!I34,"no")</f>
        <v>OutOfScope: New Story</v>
      </c>
      <c r="C344" s="2">
        <f>IF(A344=Conflict!A34,Conflict!J34,"no")</f>
        <v>0</v>
      </c>
    </row>
    <row r="345" spans="1:3" ht="13">
      <c r="A345" s="9" t="s">
        <v>378</v>
      </c>
      <c r="B345" s="2" t="str">
        <f>IF(A345=Conflict!A35,Conflict!I35,"no")</f>
        <v>OutOfScope: New Story</v>
      </c>
      <c r="C345" s="2">
        <f>IF(A345=Conflict!A35,Conflict!J35,"no")</f>
        <v>0</v>
      </c>
    </row>
  </sheetData>
  <phoneticPr fontId="11"/>
  <hyperlinks>
    <hyperlink ref="A2" r:id="rId1" location="discussion_r1083565846" xr:uid="{00000000-0004-0000-0200-000000000000}"/>
    <hyperlink ref="A3" r:id="rId2" location="discussion_r1083724374" xr:uid="{00000000-0004-0000-0200-000001000000}"/>
    <hyperlink ref="A4" r:id="rId3" location="discussion_r1074023214" xr:uid="{00000000-0004-0000-0200-000002000000}"/>
    <hyperlink ref="A5" r:id="rId4" location="issuecomment-1383873154" xr:uid="{00000000-0004-0000-0200-000003000000}"/>
    <hyperlink ref="A6" r:id="rId5" location="issuecomment-1440357711" xr:uid="{00000000-0004-0000-0200-000004000000}"/>
    <hyperlink ref="A7" r:id="rId6" location="issuecomment-1426807019" xr:uid="{00000000-0004-0000-0200-000005000000}"/>
    <hyperlink ref="A8" r:id="rId7" location="issuecomment-1422355751" xr:uid="{00000000-0004-0000-0200-000006000000}"/>
    <hyperlink ref="A9" r:id="rId8" location="issuecomment-1422375286" xr:uid="{00000000-0004-0000-0200-000007000000}"/>
    <hyperlink ref="A10" r:id="rId9" location="issuecomment-1422416345" xr:uid="{00000000-0004-0000-0200-000008000000}"/>
    <hyperlink ref="A11" r:id="rId10" location="discussion_r1146494323" xr:uid="{00000000-0004-0000-0200-000009000000}"/>
    <hyperlink ref="A12" r:id="rId11" location="issuecomment-1481577294" xr:uid="{00000000-0004-0000-0200-00000A000000}"/>
    <hyperlink ref="A13" r:id="rId12" location="issuecomment-1486132202" xr:uid="{00000000-0004-0000-0200-00000B000000}"/>
    <hyperlink ref="A14" r:id="rId13" location="issuecomment-1486151336" xr:uid="{00000000-0004-0000-0200-00000C000000}"/>
    <hyperlink ref="A15" r:id="rId14" location="discussion_r1127264221" xr:uid="{00000000-0004-0000-0200-00000D000000}"/>
    <hyperlink ref="A16" r:id="rId15" location="issuecomment-1482782327" xr:uid="{00000000-0004-0000-0200-00000E000000}"/>
    <hyperlink ref="A17" r:id="rId16" location="issuecomment-1485049856" xr:uid="{00000000-0004-0000-0200-00000F000000}"/>
    <hyperlink ref="A18" r:id="rId17" location="issuecomment-1468376389" xr:uid="{00000000-0004-0000-0200-000010000000}"/>
    <hyperlink ref="A19" r:id="rId18" location="discussion_r1155937820" xr:uid="{00000000-0004-0000-0200-000011000000}"/>
    <hyperlink ref="A20" r:id="rId19" location="issuecomment-1513081507" xr:uid="{00000000-0004-0000-0200-000012000000}"/>
    <hyperlink ref="A21" r:id="rId20" location="issuecomment-1523711377" xr:uid="{00000000-0004-0000-0200-000013000000}"/>
    <hyperlink ref="A22" r:id="rId21" location="issuecomment-1523829146" xr:uid="{00000000-0004-0000-0200-000014000000}"/>
    <hyperlink ref="A23" r:id="rId22" location="discussion_r1156498711" xr:uid="{00000000-0004-0000-0200-000015000000}"/>
    <hyperlink ref="A24" r:id="rId23" location="issuecomment-1576578560" xr:uid="{00000000-0004-0000-0200-000016000000}"/>
    <hyperlink ref="A25" r:id="rId24" location="issuecomment-1582606514" xr:uid="{00000000-0004-0000-0200-000017000000}"/>
    <hyperlink ref="A26" r:id="rId25" location="issuecomment-1582829867" xr:uid="{00000000-0004-0000-0200-000018000000}"/>
    <hyperlink ref="A27" r:id="rId26" location="issuecomment-1590831197" xr:uid="{00000000-0004-0000-0200-000019000000}"/>
    <hyperlink ref="A28" r:id="rId27" location="issuecomment-1582854272" xr:uid="{00000000-0004-0000-0200-00001A000000}"/>
    <hyperlink ref="A29" r:id="rId28" location="discussion_r1235304399" xr:uid="{00000000-0004-0000-0200-00001B000000}"/>
    <hyperlink ref="A30" r:id="rId29" location="discussion_r1235309846" xr:uid="{00000000-0004-0000-0200-00001C000000}"/>
    <hyperlink ref="A31" r:id="rId30" location="issuecomment-1578506842" xr:uid="{00000000-0004-0000-0200-00001D000000}"/>
    <hyperlink ref="A32" r:id="rId31" location="issuecomment-1578517673" xr:uid="{00000000-0004-0000-0200-00001E000000}"/>
    <hyperlink ref="A33" r:id="rId32" location="discussion_r1263879886" xr:uid="{00000000-0004-0000-0200-00001F000000}"/>
    <hyperlink ref="A34" r:id="rId33" location="issuecomment-1597866592" xr:uid="{00000000-0004-0000-0200-000020000000}"/>
    <hyperlink ref="A35" r:id="rId34" location="issuecomment-1675592946" xr:uid="{00000000-0004-0000-0200-000021000000}"/>
    <hyperlink ref="A36" r:id="rId35" location="issuecomment-1624983316" xr:uid="{00000000-0004-0000-0200-000022000000}"/>
    <hyperlink ref="A37" r:id="rId36" location="issuecomment-1672650566" xr:uid="{00000000-0004-0000-0200-000023000000}"/>
    <hyperlink ref="A38" r:id="rId37" location="issuecomment-1689636196" xr:uid="{00000000-0004-0000-0200-000024000000}"/>
    <hyperlink ref="A39" r:id="rId38" location="issuecomment-1672651113" xr:uid="{00000000-0004-0000-0200-000025000000}"/>
    <hyperlink ref="A40" r:id="rId39" location="issuecomment-1689209740" xr:uid="{00000000-0004-0000-0200-000026000000}"/>
    <hyperlink ref="A41" r:id="rId40" location="issuecomment-1690111304" xr:uid="{00000000-0004-0000-0200-000027000000}"/>
    <hyperlink ref="A42" r:id="rId41" location="discussion_r1303995244" xr:uid="{00000000-0004-0000-0200-000028000000}"/>
    <hyperlink ref="A43" r:id="rId42" location="issuecomment-1686618217" xr:uid="{00000000-0004-0000-0200-000029000000}"/>
    <hyperlink ref="A44" r:id="rId43" location="issuecomment-1661736821" xr:uid="{00000000-0004-0000-0200-00002A000000}"/>
    <hyperlink ref="A45" r:id="rId44" location="issuecomment-1665498143" xr:uid="{00000000-0004-0000-0200-00002B000000}"/>
    <hyperlink ref="A46" r:id="rId45" location="issuecomment-1665506423" xr:uid="{00000000-0004-0000-0200-00002C000000}"/>
    <hyperlink ref="A47" r:id="rId46" location="discussion_r1306204926" xr:uid="{00000000-0004-0000-0200-00002D000000}"/>
    <hyperlink ref="A48" r:id="rId47" location="issuecomment-1697519138" xr:uid="{00000000-0004-0000-0200-00002E000000}"/>
    <hyperlink ref="A49" r:id="rId48" location="discussion_r1314789164" xr:uid="{00000000-0004-0000-0200-00002F000000}"/>
    <hyperlink ref="A50" r:id="rId49" location="discussion_r1332517627" xr:uid="{00000000-0004-0000-0200-000030000000}"/>
    <hyperlink ref="A51" r:id="rId50" location="discussion_r1336278028" xr:uid="{00000000-0004-0000-0200-000031000000}"/>
    <hyperlink ref="A52" r:id="rId51" location="issuecomment-1780379051" xr:uid="{00000000-0004-0000-0200-000032000000}"/>
    <hyperlink ref="A53" r:id="rId52" location="issuecomment-1793344331" xr:uid="{00000000-0004-0000-0200-000033000000}"/>
    <hyperlink ref="A54" r:id="rId53" location="issuecomment-1785720245" xr:uid="{00000000-0004-0000-0200-000034000000}"/>
    <hyperlink ref="A55" r:id="rId54" location="issuecomment-1785791090" xr:uid="{00000000-0004-0000-0200-000035000000}"/>
    <hyperlink ref="A56" r:id="rId55" location="issuecomment-1781507882" xr:uid="{00000000-0004-0000-0200-000036000000}"/>
    <hyperlink ref="A57" r:id="rId56" location="discussion_r1365062177" xr:uid="{00000000-0004-0000-0200-000037000000}"/>
    <hyperlink ref="A58" r:id="rId57" location="issuecomment-1752448257" xr:uid="{00000000-0004-0000-0200-000038000000}"/>
    <hyperlink ref="A59" r:id="rId58" location="issuecomment-1807527354" xr:uid="{00000000-0004-0000-0200-000039000000}"/>
    <hyperlink ref="A60" r:id="rId59" location="issuecomment-1809757221" xr:uid="{00000000-0004-0000-0200-00003A000000}"/>
    <hyperlink ref="A61" r:id="rId60" location="issuecomment-1801905875" xr:uid="{00000000-0004-0000-0200-00003B000000}"/>
    <hyperlink ref="A62" r:id="rId61" location="issuecomment-1828368632" xr:uid="{00000000-0004-0000-0200-00003C000000}"/>
    <hyperlink ref="A63" r:id="rId62" location="issuecomment-1793218502" xr:uid="{00000000-0004-0000-0200-00003D000000}"/>
    <hyperlink ref="A64" r:id="rId63" location="discussion_r1412686754" xr:uid="{00000000-0004-0000-0200-00003E000000}"/>
    <hyperlink ref="A65" r:id="rId64" location="discussion_r1414961306" xr:uid="{00000000-0004-0000-0200-00003F000000}"/>
    <hyperlink ref="A66" r:id="rId65" location="discussion_r1417022793" xr:uid="{00000000-0004-0000-0200-000040000000}"/>
    <hyperlink ref="A67" r:id="rId66" location="issuecomment-1948839059" xr:uid="{00000000-0004-0000-0200-000041000000}"/>
    <hyperlink ref="A68" r:id="rId67" location="issuecomment-1910187080" xr:uid="{00000000-0004-0000-0200-000042000000}"/>
    <hyperlink ref="A69" r:id="rId68" location="issuecomment-1910451341" xr:uid="{00000000-0004-0000-0200-000043000000}"/>
    <hyperlink ref="A70" r:id="rId69" location="issuecomment-1900904418" xr:uid="{00000000-0004-0000-0200-000044000000}"/>
    <hyperlink ref="A71" r:id="rId70" location="issuecomment-1901148987" xr:uid="{00000000-0004-0000-0200-000045000000}"/>
    <hyperlink ref="A72" r:id="rId71" location="issuecomment-1901569192" xr:uid="{00000000-0004-0000-0200-000046000000}"/>
    <hyperlink ref="A73" r:id="rId72" location="issuecomment-1902645890" xr:uid="{00000000-0004-0000-0200-000047000000}"/>
    <hyperlink ref="A74" r:id="rId73" location="issuecomment-1899349398" xr:uid="{00000000-0004-0000-0200-000048000000}"/>
    <hyperlink ref="A75" r:id="rId74" location="issuecomment-1886360767" xr:uid="{00000000-0004-0000-0200-000049000000}"/>
    <hyperlink ref="A76" r:id="rId75" location="issuecomment-1887960719" xr:uid="{00000000-0004-0000-0200-00004A000000}"/>
    <hyperlink ref="A77" r:id="rId76" location="discussion_r1450221819" xr:uid="{00000000-0004-0000-0200-00004B000000}"/>
    <hyperlink ref="A78" r:id="rId77" location="issuecomment-1885822780" xr:uid="{00000000-0004-0000-0200-00004C000000}"/>
    <hyperlink ref="A79" r:id="rId78" location="discussion_r1443379463" xr:uid="{00000000-0004-0000-0200-00004D000000}"/>
    <hyperlink ref="A80" r:id="rId79" location="discussion_r1473516211" xr:uid="{00000000-0004-0000-0200-00004E000000}"/>
    <hyperlink ref="A81" r:id="rId80" location="issuecomment-1959829217" xr:uid="{00000000-0004-0000-0200-00004F000000}"/>
    <hyperlink ref="A82" r:id="rId81" location="discussion_r1501899861" xr:uid="{00000000-0004-0000-0200-000050000000}"/>
    <hyperlink ref="A83" r:id="rId82" location="discussion_r1517923030" xr:uid="{00000000-0004-0000-0200-000051000000}"/>
    <hyperlink ref="A84" r:id="rId83" location="issuecomment-1955720555" xr:uid="{00000000-0004-0000-0200-000052000000}"/>
    <hyperlink ref="A85" r:id="rId84" location="discussion_r1487082121" xr:uid="{00000000-0004-0000-0200-000053000000}"/>
    <hyperlink ref="A86" r:id="rId85" location="discussion_r1507440482" xr:uid="{00000000-0004-0000-0200-000054000000}"/>
    <hyperlink ref="A87" r:id="rId86" location="issuecomment-2025318864" xr:uid="{00000000-0004-0000-0200-000055000000}"/>
    <hyperlink ref="A88" r:id="rId87" location="issuecomment-2024845557" xr:uid="{00000000-0004-0000-0200-000056000000}"/>
    <hyperlink ref="A89" r:id="rId88" location="issuecomment-2014162418" xr:uid="{00000000-0004-0000-0200-000057000000}"/>
    <hyperlink ref="A90" r:id="rId89" location="issuecomment-1980864682" xr:uid="{00000000-0004-0000-0200-000058000000}"/>
    <hyperlink ref="A91" r:id="rId90" location="issuecomment-1999698330" xr:uid="{00000000-0004-0000-0200-000059000000}"/>
    <hyperlink ref="A92" r:id="rId91" location="issuecomment-2034063870" xr:uid="{00000000-0004-0000-0200-00005A000000}"/>
    <hyperlink ref="A93" r:id="rId92" location="discussion_r1530909058" xr:uid="{00000000-0004-0000-0200-00005B000000}"/>
    <hyperlink ref="A94" r:id="rId93" location="issuecomment-1999943078" xr:uid="{00000000-0004-0000-0200-00005C000000}"/>
    <hyperlink ref="A95" r:id="rId94" location="issuecomment-2017657371" xr:uid="{00000000-0004-0000-0200-00005D000000}"/>
    <hyperlink ref="A96" r:id="rId95" location="issuecomment-2061398319" xr:uid="{00000000-0004-0000-0200-00005E000000}"/>
    <hyperlink ref="A97" r:id="rId96" location="issuecomment-2035787922" xr:uid="{00000000-0004-0000-0200-00005F000000}"/>
    <hyperlink ref="A98" r:id="rId97" location="issuecomment-2045255946" xr:uid="{00000000-0004-0000-0200-000060000000}"/>
    <hyperlink ref="A99" r:id="rId98" location="issuecomment-2072113477" xr:uid="{00000000-0004-0000-0200-000061000000}"/>
    <hyperlink ref="A100" r:id="rId99" location="issuecomment-2063787042" xr:uid="{00000000-0004-0000-0200-000062000000}"/>
    <hyperlink ref="A101" r:id="rId100" location="issuecomment-2071595653" xr:uid="{00000000-0004-0000-0200-000063000000}"/>
    <hyperlink ref="A102" r:id="rId101" location="discussion_r1587350621" xr:uid="{00000000-0004-0000-0200-000064000000}"/>
    <hyperlink ref="A103" r:id="rId102" location="issuecomment-2155886151" xr:uid="{00000000-0004-0000-0200-000065000000}"/>
    <hyperlink ref="A104" r:id="rId103" location="issuecomment-2117027142" xr:uid="{00000000-0004-0000-0200-000066000000}"/>
    <hyperlink ref="A105" r:id="rId104" location="issuecomment-2117397544" xr:uid="{00000000-0004-0000-0200-000067000000}"/>
    <hyperlink ref="A106" r:id="rId105" location="issuecomment-2153175265" xr:uid="{00000000-0004-0000-0200-000068000000}"/>
    <hyperlink ref="A107" r:id="rId106" location="issuecomment-2156025254" xr:uid="{00000000-0004-0000-0200-000069000000}"/>
    <hyperlink ref="A108" r:id="rId107" location="discussion_r1608892185" xr:uid="{00000000-0004-0000-0200-00006A000000}"/>
    <hyperlink ref="A109" r:id="rId108" location="issuecomment-2088165855" xr:uid="{00000000-0004-0000-0200-00006B000000}"/>
    <hyperlink ref="A110" r:id="rId109" location="issuecomment-2200855111" xr:uid="{00000000-0004-0000-0200-00006C000000}"/>
    <hyperlink ref="A111" r:id="rId110" location="discussion_r1633407705" xr:uid="{00000000-0004-0000-0200-00006D000000}"/>
    <hyperlink ref="A112" r:id="rId111" location="discussion_r1636377158" xr:uid="{00000000-0004-0000-0200-00006E000000}"/>
    <hyperlink ref="A113" r:id="rId112" location="discussion_r1664512005" xr:uid="{00000000-0004-0000-0200-00006F000000}"/>
    <hyperlink ref="A114" r:id="rId113" location="issuecomment-2173528937" xr:uid="{00000000-0004-0000-0200-000070000000}"/>
    <hyperlink ref="A115" r:id="rId114" location="discussion_r1644509089" xr:uid="{00000000-0004-0000-0200-000071000000}"/>
    <hyperlink ref="A116" r:id="rId115" location="issuecomment-2260800234" xr:uid="{00000000-0004-0000-0200-000072000000}"/>
    <hyperlink ref="A117" r:id="rId116" location="issuecomment-2264155036" xr:uid="{00000000-0004-0000-0200-000073000000}"/>
    <hyperlink ref="A118" r:id="rId117" location="issuecomment-2243019123" xr:uid="{00000000-0004-0000-0200-000074000000}"/>
    <hyperlink ref="A119" r:id="rId118" location="issuecomment-2240820847" xr:uid="{00000000-0004-0000-0200-000075000000}"/>
    <hyperlink ref="A120" r:id="rId119" location="discussion_r1700879609" xr:uid="{00000000-0004-0000-0200-000076000000}"/>
    <hyperlink ref="A121" r:id="rId120" location="discussion_r1722395207" xr:uid="{00000000-0004-0000-0200-000077000000}"/>
    <hyperlink ref="A122" r:id="rId121" location="issuecomment-2223578650" xr:uid="{00000000-0004-0000-0200-000078000000}"/>
    <hyperlink ref="A123" r:id="rId122" location="issuecomment-2351227427" xr:uid="{00000000-0004-0000-0200-000079000000}"/>
    <hyperlink ref="A124" r:id="rId123" location="discussion_r1739214016" xr:uid="{00000000-0004-0000-0200-00007A000000}"/>
    <hyperlink ref="A125" r:id="rId124" location="issuecomment-2298195864" xr:uid="{00000000-0004-0000-0200-00007B000000}"/>
    <hyperlink ref="A126" r:id="rId125" location="issuecomment-2289243857" xr:uid="{00000000-0004-0000-0200-00007C000000}"/>
    <hyperlink ref="A127" r:id="rId126" location="discussion_r1703897845" xr:uid="{00000000-0004-0000-0200-00007D000000}"/>
    <hyperlink ref="A128" r:id="rId127" location="discussion_r1796528450" xr:uid="{00000000-0004-0000-0200-00007E000000}"/>
    <hyperlink ref="A129" r:id="rId128" location="issuecomment-2318997943" xr:uid="{00000000-0004-0000-0200-00007F000000}"/>
    <hyperlink ref="A130" r:id="rId129" location="issuecomment-2296393650" xr:uid="{00000000-0004-0000-0200-000080000000}"/>
    <hyperlink ref="A131" r:id="rId130" location="discussion_r1735211623" xr:uid="{00000000-0004-0000-0200-000081000000}"/>
    <hyperlink ref="A132" r:id="rId131" location="issuecomment-2269215873" xr:uid="{00000000-0004-0000-0200-000082000000}"/>
    <hyperlink ref="A133" r:id="rId132" location="issuecomment-2379969401" xr:uid="{00000000-0004-0000-0200-000083000000}"/>
    <hyperlink ref="A134" r:id="rId133" location="issuecomment-2380293932" xr:uid="{00000000-0004-0000-0200-000084000000}"/>
    <hyperlink ref="A135" r:id="rId134" location="issuecomment-2359660979" xr:uid="{00000000-0004-0000-0200-000085000000}"/>
    <hyperlink ref="A136" r:id="rId135" location="issuecomment-2377384077" xr:uid="{00000000-0004-0000-0200-000086000000}"/>
    <hyperlink ref="A137" r:id="rId136" location="issuecomment-2333447134" xr:uid="{00000000-0004-0000-0200-000087000000}"/>
    <hyperlink ref="A138" r:id="rId137" location="issuecomment-2341588367" xr:uid="{00000000-0004-0000-0200-000088000000}"/>
    <hyperlink ref="A139" r:id="rId138" location="issuecomment-2362192856" xr:uid="{00000000-0004-0000-0200-000089000000}"/>
    <hyperlink ref="A140" r:id="rId139" location="issuecomment-2331351518" xr:uid="{00000000-0004-0000-0200-00008A000000}"/>
    <hyperlink ref="A141" r:id="rId140" location="issuecomment-2331639363" xr:uid="{00000000-0004-0000-0200-00008B000000}"/>
    <hyperlink ref="A142" r:id="rId141" location="issuecomment-2445457916" xr:uid="{00000000-0004-0000-0200-00008C000000}"/>
    <hyperlink ref="A143" r:id="rId142" location="discussion_r1819880028" xr:uid="{00000000-0004-0000-0200-00008D000000}"/>
    <hyperlink ref="A144" r:id="rId143" location="issuecomment-2408543634" xr:uid="{00000000-0004-0000-0200-00008E000000}"/>
    <hyperlink ref="A145" r:id="rId144" location="issuecomment-2469782864" xr:uid="{00000000-0004-0000-0200-00008F000000}"/>
    <hyperlink ref="A146" r:id="rId145" location="discussion_r1856809685" xr:uid="{00000000-0004-0000-0200-000090000000}"/>
    <hyperlink ref="A147" r:id="rId146" location="discussion_r1851061100" xr:uid="{00000000-0004-0000-0200-000091000000}"/>
    <hyperlink ref="A148" r:id="rId147" location="discussion_r1906988397" xr:uid="{00000000-0004-0000-0200-000092000000}"/>
    <hyperlink ref="A149" r:id="rId148" location="discussion_r1837312269" xr:uid="{00000000-0004-0000-0200-000093000000}"/>
    <hyperlink ref="A150" r:id="rId149" location="discussion_r1850770100" xr:uid="{00000000-0004-0000-0200-000094000000}"/>
    <hyperlink ref="A151" r:id="rId150" location="issuecomment-2541135317" xr:uid="{00000000-0004-0000-0200-000095000000}"/>
    <hyperlink ref="A152" r:id="rId151" location="issuecomment-2541213731" xr:uid="{00000000-0004-0000-0200-000096000000}"/>
    <hyperlink ref="A153" r:id="rId152" location="issuecomment-2624532383" xr:uid="{00000000-0004-0000-0200-000097000000}"/>
    <hyperlink ref="A154" r:id="rId153" location="issuecomment-2663810694" xr:uid="{00000000-0004-0000-0200-000098000000}"/>
    <hyperlink ref="A155" r:id="rId154" location="issuecomment-2597614481" xr:uid="{00000000-0004-0000-0200-000099000000}"/>
    <hyperlink ref="A156" r:id="rId155" location="discussion_r1923604952" xr:uid="{00000000-0004-0000-0200-00009A000000}"/>
    <hyperlink ref="A157" r:id="rId156" location="discussion_r1905911491" xr:uid="{00000000-0004-0000-0200-00009B000000}"/>
    <hyperlink ref="A158" r:id="rId157" location="discussion_r1935940259" xr:uid="{00000000-0004-0000-0200-00009C000000}"/>
    <hyperlink ref="A159" r:id="rId158" location="issuecomment-2670908811" xr:uid="{00000000-0004-0000-0200-00009D000000}"/>
    <hyperlink ref="A160" r:id="rId159" location="issuecomment-2668874799" xr:uid="{00000000-0004-0000-0200-00009E000000}"/>
    <hyperlink ref="A161" r:id="rId160" location="discussion_r545695302" xr:uid="{00000000-0004-0000-0200-00009F000000}"/>
    <hyperlink ref="A162" r:id="rId161" location="discussion_r543497937" xr:uid="{00000000-0004-0000-0200-0000A0000000}"/>
    <hyperlink ref="A163" r:id="rId162" location="discussion_r567018223" xr:uid="{00000000-0004-0000-0200-0000A1000000}"/>
    <hyperlink ref="A164" r:id="rId163" location="issuecomment-765626800" xr:uid="{00000000-0004-0000-0200-0000A2000000}"/>
    <hyperlink ref="A165" r:id="rId164" location="issuecomment-756679378" xr:uid="{00000000-0004-0000-0200-0000A3000000}"/>
    <hyperlink ref="A166" r:id="rId165" location="issuecomment-756680553" xr:uid="{00000000-0004-0000-0200-0000A4000000}"/>
    <hyperlink ref="A167" r:id="rId166" location="discussion_r559645850" xr:uid="{00000000-0004-0000-0200-0000A5000000}"/>
    <hyperlink ref="A168" r:id="rId167" location="issuecomment-779549912" xr:uid="{00000000-0004-0000-0200-0000A6000000}"/>
    <hyperlink ref="A169" r:id="rId168" location="issuecomment-779550856" xr:uid="{00000000-0004-0000-0200-0000A7000000}"/>
    <hyperlink ref="A170" r:id="rId169" location="issuecomment-797531035" xr:uid="{00000000-0004-0000-0200-0000A8000000}"/>
    <hyperlink ref="A171" r:id="rId170" location="issuecomment-801625181" xr:uid="{00000000-0004-0000-0200-0000A9000000}"/>
    <hyperlink ref="A172" r:id="rId171" location="issuecomment-801091000" xr:uid="{00000000-0004-0000-0200-0000AA000000}"/>
    <hyperlink ref="A173" r:id="rId172" location="issuecomment-801105402" xr:uid="{00000000-0004-0000-0200-0000AB000000}"/>
    <hyperlink ref="A174" r:id="rId173" location="issuecomment-793654227" xr:uid="{00000000-0004-0000-0200-0000AC000000}"/>
    <hyperlink ref="A175" r:id="rId174" location="issuecomment-837020051" xr:uid="{00000000-0004-0000-0200-0000AD000000}"/>
    <hyperlink ref="A176" r:id="rId175" location="discussion_r637023560" xr:uid="{00000000-0004-0000-0200-0000AE000000}"/>
    <hyperlink ref="A177" r:id="rId176" location="issuecomment-856753293" xr:uid="{00000000-0004-0000-0200-0000AF000000}"/>
    <hyperlink ref="A178" r:id="rId177" location="issuecomment-848266671" xr:uid="{00000000-0004-0000-0200-0000B0000000}"/>
    <hyperlink ref="A179" r:id="rId178" location="issuecomment-837133410" xr:uid="{00000000-0004-0000-0200-0000B1000000}"/>
    <hyperlink ref="A180" r:id="rId179" location="issuecomment-835330799" xr:uid="{00000000-0004-0000-0200-0000B2000000}"/>
    <hyperlink ref="A181" r:id="rId180" location="issuecomment-832071725" xr:uid="{00000000-0004-0000-0200-0000B3000000}"/>
    <hyperlink ref="A182" r:id="rId181" location="issuecomment-984087504" xr:uid="{00000000-0004-0000-0200-0000B4000000}"/>
    <hyperlink ref="A183" r:id="rId182" location="issuecomment-985285721" xr:uid="{00000000-0004-0000-0200-0000B5000000}"/>
    <hyperlink ref="A184" r:id="rId183" location="issuecomment-863421123" xr:uid="{00000000-0004-0000-0200-0000B6000000}"/>
    <hyperlink ref="A185" r:id="rId184" location="issuecomment-888678243" xr:uid="{00000000-0004-0000-0200-0000B7000000}"/>
    <hyperlink ref="A186" r:id="rId185" location="issuecomment-884843049" xr:uid="{00000000-0004-0000-0200-0000B8000000}"/>
    <hyperlink ref="A187" r:id="rId186" location="discussion_r676438744" xr:uid="{00000000-0004-0000-0200-0000B9000000}"/>
    <hyperlink ref="A188" r:id="rId187" location="issuecomment-884723190" xr:uid="{00000000-0004-0000-0200-0000BA000000}"/>
    <hyperlink ref="A189" r:id="rId188" location="issuecomment-889533506" xr:uid="{00000000-0004-0000-0200-0000BB000000}"/>
    <hyperlink ref="A190" r:id="rId189" location="discussion_r679838147" xr:uid="{00000000-0004-0000-0200-0000BC000000}"/>
    <hyperlink ref="A191" r:id="rId190" location="issuecomment-878619570" xr:uid="{00000000-0004-0000-0200-0000BD000000}"/>
    <hyperlink ref="A192" r:id="rId191" location="issuecomment-883348633" xr:uid="{00000000-0004-0000-0200-0000BE000000}"/>
    <hyperlink ref="A193" r:id="rId192" location="issuecomment-874051052" xr:uid="{00000000-0004-0000-0200-0000BF000000}"/>
    <hyperlink ref="A194" r:id="rId193" location="issuecomment-900553213" xr:uid="{00000000-0004-0000-0200-0000C0000000}"/>
    <hyperlink ref="A195" r:id="rId194" location="issuecomment-910057384" xr:uid="{00000000-0004-0000-0200-0000C1000000}"/>
    <hyperlink ref="A196" r:id="rId195" location="issuecomment-913474266" xr:uid="{00000000-0004-0000-0200-0000C2000000}"/>
    <hyperlink ref="A197" r:id="rId196" location="issuecomment-892080725" xr:uid="{00000000-0004-0000-0200-0000C3000000}"/>
    <hyperlink ref="A198" r:id="rId197" location="issuecomment-892088511" xr:uid="{00000000-0004-0000-0200-0000C4000000}"/>
    <hyperlink ref="A199" r:id="rId198" location="issuecomment-904955772" xr:uid="{00000000-0004-0000-0200-0000C5000000}"/>
    <hyperlink ref="A200" r:id="rId199" location="issuecomment-899635644" xr:uid="{00000000-0004-0000-0200-0000C6000000}"/>
    <hyperlink ref="A201" r:id="rId200" location="issuecomment-900114068" xr:uid="{00000000-0004-0000-0200-0000C7000000}"/>
    <hyperlink ref="A202" r:id="rId201" location="issuecomment-901702021" xr:uid="{00000000-0004-0000-0200-0000C8000000}"/>
    <hyperlink ref="A203" r:id="rId202" location="issuecomment-901720443" xr:uid="{00000000-0004-0000-0200-0000C9000000}"/>
    <hyperlink ref="A204" r:id="rId203" location="issuecomment-906414490" xr:uid="{00000000-0004-0000-0200-0000CA000000}"/>
    <hyperlink ref="A205" r:id="rId204" location="discussion_r702913628" xr:uid="{00000000-0004-0000-0200-0000CB000000}"/>
    <hyperlink ref="A206" r:id="rId205" location="discussion_r702913729" xr:uid="{00000000-0004-0000-0200-0000CC000000}"/>
    <hyperlink ref="A207" r:id="rId206" location="issuecomment-924130437" xr:uid="{00000000-0004-0000-0200-0000CD000000}"/>
    <hyperlink ref="A208" r:id="rId207" location="issuecomment-924181155" xr:uid="{00000000-0004-0000-0200-0000CE000000}"/>
    <hyperlink ref="A209" r:id="rId208" location="issuecomment-932479529" xr:uid="{00000000-0004-0000-0200-0000CF000000}"/>
    <hyperlink ref="A210" r:id="rId209" location="issuecomment-920667290" xr:uid="{00000000-0004-0000-0200-0000D0000000}"/>
    <hyperlink ref="A211" r:id="rId210" location="discussion_r739843790" xr:uid="{00000000-0004-0000-0200-0000D1000000}"/>
    <hyperlink ref="A212" r:id="rId211" location="issuecomment-942076500" xr:uid="{00000000-0004-0000-0200-0000D2000000}"/>
    <hyperlink ref="A213" r:id="rId212" location="issuecomment-970242570" xr:uid="{00000000-0004-0000-0200-0000D3000000}"/>
    <hyperlink ref="A214" r:id="rId213" location="discussion_r779691202" xr:uid="{00000000-0004-0000-0200-0000D4000000}"/>
    <hyperlink ref="A215" r:id="rId214" location="issuecomment-970508235" xr:uid="{00000000-0004-0000-0200-0000D5000000}"/>
    <hyperlink ref="A216" r:id="rId215" location="issuecomment-971788502" xr:uid="{00000000-0004-0000-0200-0000D6000000}"/>
    <hyperlink ref="A217" r:id="rId216" location="issuecomment-976168691" xr:uid="{00000000-0004-0000-0200-0000D7000000}"/>
    <hyperlink ref="A218" r:id="rId217" location="discussion_r793138311" xr:uid="{00000000-0004-0000-0200-0000D8000000}"/>
    <hyperlink ref="A219" r:id="rId218" location="discussion_r769552260" xr:uid="{00000000-0004-0000-0200-0000D9000000}"/>
    <hyperlink ref="A220" r:id="rId219" location="issuecomment-1000705330" xr:uid="{00000000-0004-0000-0200-0000DA000000}"/>
    <hyperlink ref="A221" r:id="rId220" location="issuecomment-1000097664" xr:uid="{00000000-0004-0000-0200-0000DB000000}"/>
    <hyperlink ref="A222" r:id="rId221" location="issuecomment-1000107533" xr:uid="{00000000-0004-0000-0200-0000DC000000}"/>
    <hyperlink ref="A223" r:id="rId222" location="issuecomment-994836463" xr:uid="{00000000-0004-0000-0200-0000DD000000}"/>
    <hyperlink ref="A224" r:id="rId223" location="issuecomment-994966005" xr:uid="{00000000-0004-0000-0200-0000DE000000}"/>
    <hyperlink ref="A225" r:id="rId224" location="issuecomment-1009184755" xr:uid="{00000000-0004-0000-0200-0000DF000000}"/>
    <hyperlink ref="A226" r:id="rId225" location="discussion_r782253740" xr:uid="{00000000-0004-0000-0200-0000E0000000}"/>
    <hyperlink ref="A227" r:id="rId226" location="discussion_r765954024" xr:uid="{00000000-0004-0000-0200-0000E1000000}"/>
    <hyperlink ref="A228" r:id="rId227" location="issuecomment-1021693435" xr:uid="{00000000-0004-0000-0200-0000E2000000}"/>
    <hyperlink ref="A229" r:id="rId228" location="issuecomment-1004912593" xr:uid="{00000000-0004-0000-0200-0000E3000000}"/>
    <hyperlink ref="A230" r:id="rId229" location="issuecomment-1004920865" xr:uid="{00000000-0004-0000-0200-0000E4000000}"/>
    <hyperlink ref="A231" r:id="rId230" location="discussion_r784065168" xr:uid="{00000000-0004-0000-0200-0000E5000000}"/>
    <hyperlink ref="A232" r:id="rId231" location="discussion_r807925280" xr:uid="{00000000-0004-0000-0200-0000E6000000}"/>
    <hyperlink ref="A233" r:id="rId232" location="issuecomment-1026674714" xr:uid="{00000000-0004-0000-0200-0000E7000000}"/>
    <hyperlink ref="A234" r:id="rId233" location="discussion_r842892057" xr:uid="{00000000-0004-0000-0200-0000E8000000}"/>
    <hyperlink ref="A235" r:id="rId234" location="issuecomment-1075108673" xr:uid="{00000000-0004-0000-0200-0000E9000000}"/>
    <hyperlink ref="A236" r:id="rId235" location="discussion_r820811558" xr:uid="{00000000-0004-0000-0200-0000EA000000}"/>
    <hyperlink ref="A237" r:id="rId236" location="issuecomment-1066596746" xr:uid="{00000000-0004-0000-0200-0000EB000000}"/>
    <hyperlink ref="A238" r:id="rId237" location="discussion_r838791044" xr:uid="{00000000-0004-0000-0200-0000EC000000}"/>
    <hyperlink ref="A239" r:id="rId238" location="discussion_r857226722" xr:uid="{00000000-0004-0000-0200-0000ED000000}"/>
    <hyperlink ref="A240" r:id="rId239" location="discussion_r842299961" xr:uid="{00000000-0004-0000-0200-0000EE000000}"/>
    <hyperlink ref="A241" r:id="rId240" location="discussion_r877330203" xr:uid="{00000000-0004-0000-0200-0000EF000000}"/>
    <hyperlink ref="A242" r:id="rId241" location="discussion_r848878274" xr:uid="{00000000-0004-0000-0200-0000F0000000}"/>
    <hyperlink ref="A243" r:id="rId242" location="issuecomment-1142183578" xr:uid="{00000000-0004-0000-0200-0000F1000000}"/>
    <hyperlink ref="A244" r:id="rId243" location="issuecomment-1128036138" xr:uid="{00000000-0004-0000-0200-0000F2000000}"/>
    <hyperlink ref="A245" r:id="rId244" location="issuecomment-1128167602" xr:uid="{00000000-0004-0000-0200-0000F3000000}"/>
    <hyperlink ref="A246" r:id="rId245" location="issuecomment-1126159948" xr:uid="{00000000-0004-0000-0200-0000F4000000}"/>
    <hyperlink ref="A247" r:id="rId246" location="discussion_r870062272" xr:uid="{00000000-0004-0000-0200-0000F5000000}"/>
    <hyperlink ref="A248" r:id="rId247" location="issuecomment-1137141845" xr:uid="{00000000-0004-0000-0200-0000F6000000}"/>
    <hyperlink ref="A249" r:id="rId248" location="issuecomment-1128161665" xr:uid="{00000000-0004-0000-0200-0000F7000000}"/>
    <hyperlink ref="A250" r:id="rId249" location="issuecomment-1130487309" xr:uid="{00000000-0004-0000-0200-0000F8000000}"/>
    <hyperlink ref="A251" r:id="rId250" location="issuecomment-1144002961" xr:uid="{00000000-0004-0000-0200-0000F9000000}"/>
    <hyperlink ref="A252" r:id="rId251" location="issuecomment-1135152219" xr:uid="{00000000-0004-0000-0200-0000FA000000}"/>
    <hyperlink ref="A253" r:id="rId252" location="issuecomment-1125506624" xr:uid="{00000000-0004-0000-0200-0000FB000000}"/>
    <hyperlink ref="A254" r:id="rId253" location="issuecomment-1126018662" xr:uid="{00000000-0004-0000-0200-0000FC000000}"/>
    <hyperlink ref="A255" r:id="rId254" location="issuecomment-1127888784" xr:uid="{00000000-0004-0000-0200-0000FD000000}"/>
    <hyperlink ref="A256" r:id="rId255" location="issuecomment-1149608974" xr:uid="{00000000-0004-0000-0200-0000FE000000}"/>
    <hyperlink ref="A257" r:id="rId256" location="issuecomment-1152400891" xr:uid="{00000000-0004-0000-0200-0000FF000000}"/>
    <hyperlink ref="A258" r:id="rId257" location="discussion_r921977280" xr:uid="{00000000-0004-0000-0200-000000010000}"/>
    <hyperlink ref="A259" r:id="rId258" location="issuecomment-1185949928" xr:uid="{00000000-0004-0000-0200-000001010000}"/>
    <hyperlink ref="A260" r:id="rId259" location="issuecomment-1187325320" xr:uid="{00000000-0004-0000-0200-000002010000}"/>
    <hyperlink ref="A261" r:id="rId260" location="issuecomment-1147935372" xr:uid="{00000000-0004-0000-0200-000003010000}"/>
    <hyperlink ref="A262" r:id="rId261" location="discussion_r902025727" xr:uid="{00000000-0004-0000-0200-000004010000}"/>
    <hyperlink ref="A263" r:id="rId262" location="discussion_r889603761" xr:uid="{00000000-0004-0000-0200-000005010000}"/>
    <hyperlink ref="A264" r:id="rId263" location="issuecomment-1191480627" xr:uid="{00000000-0004-0000-0200-000006010000}"/>
    <hyperlink ref="A265" r:id="rId264" location="issuecomment-1191482467" xr:uid="{00000000-0004-0000-0200-000007010000}"/>
    <hyperlink ref="A266" r:id="rId265" location="issuecomment-1196792652" xr:uid="{00000000-0004-0000-0200-000008010000}"/>
    <hyperlink ref="A267" r:id="rId266" location="issuecomment-1184570444" xr:uid="{00000000-0004-0000-0200-000009010000}"/>
    <hyperlink ref="A268" r:id="rId267" location="issuecomment-1184585892" xr:uid="{00000000-0004-0000-0200-00000A010000}"/>
    <hyperlink ref="A269" r:id="rId268" location="issuecomment-1194626810" xr:uid="{00000000-0004-0000-0200-00000B010000}"/>
    <hyperlink ref="A270" r:id="rId269" location="issuecomment-1195475937" xr:uid="{00000000-0004-0000-0200-00000C010000}"/>
    <hyperlink ref="A271" r:id="rId270" location="issuecomment-1192619108" xr:uid="{00000000-0004-0000-0200-00000D010000}"/>
    <hyperlink ref="A272" r:id="rId271" location="issuecomment-1194310216" xr:uid="{00000000-0004-0000-0200-00000E010000}"/>
    <hyperlink ref="A273" r:id="rId272" location="discussion_r949989262" xr:uid="{00000000-0004-0000-0200-00000F010000}"/>
    <hyperlink ref="A274" r:id="rId273" location="issuecomment-1244930705" xr:uid="{00000000-0004-0000-0200-000010010000}"/>
    <hyperlink ref="A275" r:id="rId274" location="issuecomment-1224500795" xr:uid="{00000000-0004-0000-0200-000011010000}"/>
    <hyperlink ref="A276" r:id="rId275" location="issuecomment-1230715670" xr:uid="{00000000-0004-0000-0200-000012010000}"/>
    <hyperlink ref="A277" r:id="rId276" location="issuecomment-1209889538" xr:uid="{00000000-0004-0000-0200-000013010000}"/>
    <hyperlink ref="A278" r:id="rId277" location="issuecomment-1209892350" xr:uid="{00000000-0004-0000-0200-000014010000}"/>
    <hyperlink ref="A279" r:id="rId278" location="issuecomment-1228712092" xr:uid="{00000000-0004-0000-0200-000015010000}"/>
    <hyperlink ref="A280" r:id="rId279" location="issuecomment-1216415091" xr:uid="{00000000-0004-0000-0200-000016010000}"/>
    <hyperlink ref="A281" r:id="rId280" location="issuecomment-1215832526" xr:uid="{00000000-0004-0000-0200-000017010000}"/>
    <hyperlink ref="A282" r:id="rId281" location="issuecomment-1242158688" xr:uid="{00000000-0004-0000-0200-000018010000}"/>
    <hyperlink ref="A283" r:id="rId282" location="issuecomment-1248920649" xr:uid="{00000000-0004-0000-0200-000019010000}"/>
    <hyperlink ref="A284" r:id="rId283" location="discussion_r970362124" xr:uid="{00000000-0004-0000-0200-00001A010000}"/>
    <hyperlink ref="A285" r:id="rId284" location="issuecomment-1241109917" xr:uid="{00000000-0004-0000-0200-00001B010000}"/>
    <hyperlink ref="A286" r:id="rId285" location="issuecomment-1242259347" xr:uid="{00000000-0004-0000-0200-00001C010000}"/>
    <hyperlink ref="A287" r:id="rId286" location="issuecomment-1269341227" xr:uid="{00000000-0004-0000-0200-00001D010000}"/>
    <hyperlink ref="A288" r:id="rId287" location="discussion_r983726151" xr:uid="{00000000-0004-0000-0200-00001E010000}"/>
    <hyperlink ref="A289" r:id="rId288" location="discussion_r983737173" xr:uid="{00000000-0004-0000-0200-00001F010000}"/>
    <hyperlink ref="A290" r:id="rId289" location="issuecomment-1279388288" xr:uid="{00000000-0004-0000-0200-000020010000}"/>
    <hyperlink ref="A291" r:id="rId290" location="issuecomment-1279399748" xr:uid="{00000000-0004-0000-0200-000021010000}"/>
    <hyperlink ref="A292" r:id="rId291" location="issuecomment-1291473303" xr:uid="{00000000-0004-0000-0200-000022010000}"/>
    <hyperlink ref="A293" r:id="rId292" location="discussion_r1037213727" xr:uid="{00000000-0004-0000-0200-000023010000}"/>
    <hyperlink ref="A294" r:id="rId293" location="issuecomment-1286822344" xr:uid="{00000000-0004-0000-0200-000024010000}"/>
    <hyperlink ref="A295" r:id="rId294" location="issuecomment-1285849085" xr:uid="{00000000-0004-0000-0200-000025010000}"/>
    <hyperlink ref="A296" r:id="rId295" location="discussion_r1036121644" xr:uid="{00000000-0004-0000-0200-000026010000}"/>
    <hyperlink ref="A297" r:id="rId296" location="discussion_r1034190905" xr:uid="{00000000-0004-0000-0200-000027010000}"/>
    <hyperlink ref="A298" r:id="rId297" location="discussion_r1045712585" xr:uid="{00000000-0004-0000-0200-000028010000}"/>
    <hyperlink ref="A299" r:id="rId298" location="issuecomment-1326875286" xr:uid="{00000000-0004-0000-0200-000029010000}"/>
    <hyperlink ref="A300" r:id="rId299" location="discussion_r1034043175" xr:uid="{00000000-0004-0000-0200-00002A010000}"/>
    <hyperlink ref="A301" r:id="rId300" location="discussion_r1034925705" xr:uid="{00000000-0004-0000-0200-00002B010000}"/>
    <hyperlink ref="A302" r:id="rId301" location="discussion_r1016940226" xr:uid="{00000000-0004-0000-0200-00002C010000}"/>
    <hyperlink ref="A303" r:id="rId302" location="issuecomment-1308808154" xr:uid="{00000000-0004-0000-0200-00002D010000}"/>
    <hyperlink ref="A304" r:id="rId303" location="discussion_r1037122436" xr:uid="{00000000-0004-0000-0200-00002E010000}"/>
    <hyperlink ref="A305" r:id="rId304" location="issuecomment-1339101503" xr:uid="{00000000-0004-0000-0200-00002F010000}"/>
    <hyperlink ref="A306" r:id="rId305" location="issuecomment-1361050002" xr:uid="{00000000-0004-0000-0200-000030010000}"/>
    <hyperlink ref="A307" r:id="rId306" location="discussion_r1050858002" xr:uid="{00000000-0004-0000-0200-000031010000}"/>
    <hyperlink ref="A308" r:id="rId307" location="issuecomment-1357892871" xr:uid="{00000000-0004-0000-0200-000032010000}"/>
    <hyperlink ref="A309" r:id="rId308" location="issuecomment-1358114979" xr:uid="{00000000-0004-0000-0200-000033010000}"/>
    <hyperlink ref="A310" r:id="rId309" location="issuecomment-2670908811" xr:uid="{00000000-0004-0000-0200-000034010000}"/>
    <hyperlink ref="A311" r:id="rId310" location="discussion_r1974730734" xr:uid="{00000000-0004-0000-0200-000035010000}"/>
    <hyperlink ref="A312" r:id="rId311" location="issuecomment-2668874799" xr:uid="{00000000-0004-0000-0200-000036010000}"/>
    <hyperlink ref="A313" r:id="rId312" location="issuecomment-2738116384" xr:uid="{00000000-0004-0000-0200-000037010000}"/>
    <hyperlink ref="A314" r:id="rId313" location="issuecomment-2750462330" xr:uid="{00000000-0004-0000-0200-000038010000}"/>
    <hyperlink ref="A315" r:id="rId314" location="issuecomment-2730449028" xr:uid="{00000000-0004-0000-0200-000039010000}"/>
    <hyperlink ref="A316" r:id="rId315" location="discussion_r2006483914" xr:uid="{00000000-0004-0000-0200-00003A010000}"/>
    <hyperlink ref="A317" r:id="rId316" location="discussion_r2008301713" xr:uid="{00000000-0004-0000-0200-00003B010000}"/>
    <hyperlink ref="A318" r:id="rId317" location="discussion_r1977424201" xr:uid="{00000000-0004-0000-0200-00003C010000}"/>
    <hyperlink ref="A319" r:id="rId318" location="issuecomment-2703653274" xr:uid="{00000000-0004-0000-0200-00003D010000}"/>
    <hyperlink ref="A320" r:id="rId319" location="issuecomment-2693948041" xr:uid="{00000000-0004-0000-0200-00003E010000}"/>
    <hyperlink ref="A321" r:id="rId320" location="issuecomment-2795597092" xr:uid="{00000000-0004-0000-0200-00003F010000}"/>
    <hyperlink ref="A322" r:id="rId321" location="discussion_r2049478574" xr:uid="{00000000-0004-0000-0200-000040010000}"/>
    <hyperlink ref="A323" r:id="rId322" location="issuecomment-2888992525" xr:uid="{00000000-0004-0000-0200-000041010000}"/>
    <hyperlink ref="A324" r:id="rId323" location="issuecomment-2889053424" xr:uid="{00000000-0004-0000-0200-000042010000}"/>
    <hyperlink ref="A325" r:id="rId324" location="issuecomment-2889218109" xr:uid="{00000000-0004-0000-0200-000043010000}"/>
    <hyperlink ref="A326" r:id="rId325" location="issuecomment-2884484097" xr:uid="{00000000-0004-0000-0200-000044010000}"/>
    <hyperlink ref="A327" r:id="rId326" location="discussion_r2096028845" xr:uid="{00000000-0004-0000-0200-000045010000}"/>
    <hyperlink ref="A328" r:id="rId327" location="discussion_r2098766914" xr:uid="{00000000-0004-0000-0200-000046010000}"/>
    <hyperlink ref="A329" r:id="rId328" location="discussion_r2103548556" xr:uid="{00000000-0004-0000-0200-000047010000}"/>
    <hyperlink ref="A330" r:id="rId329" location="issuecomment-2887722760" xr:uid="{00000000-0004-0000-0200-000048010000}"/>
    <hyperlink ref="A331" r:id="rId330" location="issuecomment-3004356312" xr:uid="{00000000-0004-0000-0200-000049010000}"/>
    <hyperlink ref="A332" r:id="rId331" location="discussion_r2150341785" xr:uid="{00000000-0004-0000-0200-00004A010000}"/>
    <hyperlink ref="A333" r:id="rId332" location="discussion_r2157012512" xr:uid="{00000000-0004-0000-0200-00004B010000}"/>
    <hyperlink ref="A334" r:id="rId333" location="issuecomment-3134461611" xr:uid="{00000000-0004-0000-0200-00004C010000}"/>
    <hyperlink ref="A335" r:id="rId334" location="issuecomment-3050388713" xr:uid="{00000000-0004-0000-0200-00004D010000}"/>
    <hyperlink ref="A336" r:id="rId335" location="discussion_r2226684249" xr:uid="{00000000-0004-0000-0200-00004E010000}"/>
    <hyperlink ref="A337" r:id="rId336" location="issuecomment-3037435884" xr:uid="{00000000-0004-0000-0200-00004F010000}"/>
    <hyperlink ref="A338" r:id="rId337" location="issuecomment-3104643517" xr:uid="{00000000-0004-0000-0200-000050010000}"/>
    <hyperlink ref="A339" r:id="rId338" location="discussion_r2294739847" xr:uid="{00000000-0004-0000-0200-000051010000}"/>
    <hyperlink ref="A340" r:id="rId339" location="discussion_r2279534507" xr:uid="{00000000-0004-0000-0200-000052010000}"/>
    <hyperlink ref="A341" r:id="rId340" location="discussion_r2380229424" xr:uid="{00000000-0004-0000-0200-000053010000}"/>
    <hyperlink ref="A342" r:id="rId341" location="issuecomment-3314117225" xr:uid="{00000000-0004-0000-0200-000054010000}"/>
    <hyperlink ref="A343" r:id="rId342" location="issuecomment-3274242189" xr:uid="{00000000-0004-0000-0200-000055010000}"/>
    <hyperlink ref="A344" r:id="rId343" location="discussion_r2349918819" xr:uid="{00000000-0004-0000-0200-000056010000}"/>
    <hyperlink ref="A345" r:id="rId344" location="discussion_r2353846205" xr:uid="{00000000-0004-0000-0200-00005701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37"/>
  <sheetViews>
    <sheetView workbookViewId="0"/>
  </sheetViews>
  <sheetFormatPr baseColWidth="10" defaultColWidth="12.6640625" defaultRowHeight="15.75" customHeight="1"/>
  <cols>
    <col min="1" max="1" width="80.5" customWidth="1"/>
    <col min="2" max="2" width="33.5" customWidth="1"/>
    <col min="3" max="3" width="76.83203125" customWidth="1"/>
  </cols>
  <sheetData>
    <row r="1" spans="1:4" ht="15.75" customHeight="1">
      <c r="A1" s="2" t="s">
        <v>415</v>
      </c>
      <c r="B1" s="2"/>
      <c r="C1" s="2" t="s">
        <v>414</v>
      </c>
      <c r="D1" s="2" t="s">
        <v>416</v>
      </c>
    </row>
    <row r="2" spans="1:4" ht="15.75" customHeight="1">
      <c r="A2" s="9" t="s">
        <v>191</v>
      </c>
      <c r="B2" s="2" t="s">
        <v>20</v>
      </c>
      <c r="C2" s="2"/>
      <c r="D2" s="2" t="s">
        <v>417</v>
      </c>
    </row>
    <row r="3" spans="1:4" ht="15.75" customHeight="1">
      <c r="A3" s="9" t="s">
        <v>345</v>
      </c>
      <c r="B3" s="2" t="s">
        <v>53</v>
      </c>
      <c r="C3" s="2"/>
      <c r="D3" s="2" t="s">
        <v>418</v>
      </c>
    </row>
    <row r="4" spans="1:4" ht="15.75" customHeight="1">
      <c r="A4" s="9" t="s">
        <v>192</v>
      </c>
      <c r="B4" s="2" t="s">
        <v>14</v>
      </c>
      <c r="C4" s="2"/>
      <c r="D4" s="2" t="s">
        <v>419</v>
      </c>
    </row>
    <row r="5" spans="1:4" ht="15.75" customHeight="1">
      <c r="A5" s="9" t="s">
        <v>346</v>
      </c>
      <c r="B5" s="2" t="s">
        <v>5</v>
      </c>
      <c r="C5" s="2"/>
      <c r="D5" s="2" t="s">
        <v>420</v>
      </c>
    </row>
    <row r="6" spans="1:4" ht="15.75" customHeight="1">
      <c r="A6" s="9" t="s">
        <v>347</v>
      </c>
      <c r="B6" s="2" t="s">
        <v>5</v>
      </c>
      <c r="C6" s="2"/>
      <c r="D6" s="2" t="s">
        <v>421</v>
      </c>
    </row>
    <row r="7" spans="1:4" ht="15.75" customHeight="1">
      <c r="A7" s="8" t="s">
        <v>348</v>
      </c>
      <c r="B7" s="2"/>
      <c r="C7" s="2" t="s">
        <v>51</v>
      </c>
    </row>
    <row r="8" spans="1:4" ht="15.75" customHeight="1">
      <c r="A8" s="9" t="s">
        <v>349</v>
      </c>
      <c r="B8" s="2" t="s">
        <v>20</v>
      </c>
      <c r="C8" s="2"/>
      <c r="D8" s="2" t="s">
        <v>422</v>
      </c>
    </row>
    <row r="9" spans="1:4" ht="15.75" customHeight="1">
      <c r="A9" s="8" t="s">
        <v>350</v>
      </c>
      <c r="B9" s="2" t="s">
        <v>20</v>
      </c>
      <c r="C9" s="2"/>
      <c r="D9" s="2" t="s">
        <v>423</v>
      </c>
    </row>
    <row r="10" spans="1:4" ht="15.75" customHeight="1">
      <c r="A10" s="8" t="s">
        <v>351</v>
      </c>
      <c r="B10" s="2"/>
      <c r="C10" s="2" t="s">
        <v>75</v>
      </c>
    </row>
    <row r="11" spans="1:4" ht="15.75" customHeight="1">
      <c r="A11" s="9" t="s">
        <v>352</v>
      </c>
      <c r="B11" s="2"/>
      <c r="C11" s="2" t="s">
        <v>130</v>
      </c>
      <c r="D11" s="2" t="s">
        <v>424</v>
      </c>
    </row>
    <row r="12" spans="1:4" ht="15.75" customHeight="1">
      <c r="A12" s="9" t="s">
        <v>353</v>
      </c>
      <c r="B12" s="2" t="s">
        <v>134</v>
      </c>
      <c r="C12" s="2"/>
    </row>
    <row r="13" spans="1:4" ht="15.75" customHeight="1">
      <c r="A13" s="9" t="s">
        <v>354</v>
      </c>
      <c r="B13" s="2" t="s">
        <v>20</v>
      </c>
      <c r="C13" s="2"/>
      <c r="D13" s="2" t="s">
        <v>425</v>
      </c>
    </row>
    <row r="14" spans="1:4" ht="15.75" customHeight="1">
      <c r="A14" s="8" t="s">
        <v>355</v>
      </c>
      <c r="B14" s="2" t="s">
        <v>45</v>
      </c>
      <c r="C14" s="2" t="s">
        <v>148</v>
      </c>
    </row>
    <row r="15" spans="1:4" ht="15.75" customHeight="1">
      <c r="A15" s="9" t="s">
        <v>356</v>
      </c>
      <c r="B15" s="2" t="s">
        <v>14</v>
      </c>
      <c r="C15" s="2"/>
    </row>
    <row r="16" spans="1:4" ht="15.75" customHeight="1">
      <c r="A16" s="9" t="s">
        <v>357</v>
      </c>
      <c r="B16" s="2" t="s">
        <v>5</v>
      </c>
      <c r="C16" s="2"/>
      <c r="D16" s="2" t="s">
        <v>426</v>
      </c>
    </row>
    <row r="17" spans="1:4" ht="15.75" customHeight="1">
      <c r="A17" s="8" t="s">
        <v>358</v>
      </c>
      <c r="B17" s="2" t="s">
        <v>14</v>
      </c>
      <c r="C17" s="2"/>
      <c r="D17" s="2" t="s">
        <v>426</v>
      </c>
    </row>
    <row r="18" spans="1:4" ht="15.75" customHeight="1">
      <c r="A18" s="8" t="s">
        <v>359</v>
      </c>
      <c r="B18" s="2" t="s">
        <v>14</v>
      </c>
      <c r="C18" s="2"/>
    </row>
    <row r="19" spans="1:4" ht="15.75" customHeight="1">
      <c r="A19" s="9" t="s">
        <v>360</v>
      </c>
      <c r="B19" s="2" t="s">
        <v>20</v>
      </c>
      <c r="C19" s="2"/>
    </row>
    <row r="20" spans="1:4" ht="15.75" customHeight="1">
      <c r="A20" s="9" t="s">
        <v>361</v>
      </c>
      <c r="B20" s="2" t="s">
        <v>20</v>
      </c>
      <c r="C20" s="2"/>
      <c r="D20" s="2" t="s">
        <v>427</v>
      </c>
    </row>
    <row r="21" spans="1:4" ht="15.75" customHeight="1">
      <c r="A21" s="8" t="s">
        <v>362</v>
      </c>
      <c r="B21" s="2" t="s">
        <v>20</v>
      </c>
      <c r="C21" s="2"/>
      <c r="D21" s="2" t="s">
        <v>428</v>
      </c>
    </row>
    <row r="22" spans="1:4" ht="15.75" customHeight="1">
      <c r="A22" s="8" t="s">
        <v>363</v>
      </c>
      <c r="B22" s="2" t="s">
        <v>20</v>
      </c>
      <c r="C22" s="2"/>
      <c r="D22" s="2" t="s">
        <v>429</v>
      </c>
    </row>
    <row r="23" spans="1:4" ht="15.75" customHeight="1">
      <c r="A23" s="8" t="s">
        <v>364</v>
      </c>
      <c r="B23" s="2" t="s">
        <v>91</v>
      </c>
      <c r="C23" s="2"/>
      <c r="D23" s="2" t="s">
        <v>430</v>
      </c>
    </row>
    <row r="24" spans="1:4" ht="15.75" customHeight="1">
      <c r="A24" s="8" t="s">
        <v>365</v>
      </c>
      <c r="B24" s="2" t="s">
        <v>20</v>
      </c>
      <c r="C24" s="2" t="s">
        <v>179</v>
      </c>
    </row>
    <row r="25" spans="1:4" ht="15.75" customHeight="1">
      <c r="A25" s="9" t="s">
        <v>366</v>
      </c>
      <c r="B25" s="2" t="s">
        <v>31</v>
      </c>
      <c r="C25" s="2"/>
      <c r="D25" s="2" t="s">
        <v>431</v>
      </c>
    </row>
    <row r="26" spans="1:4" ht="15.75" customHeight="1">
      <c r="A26" s="9" t="s">
        <v>367</v>
      </c>
      <c r="B26" s="2" t="s">
        <v>14</v>
      </c>
      <c r="C26" s="2"/>
    </row>
    <row r="27" spans="1:4" ht="15.75" customHeight="1">
      <c r="A27" s="9" t="s">
        <v>368</v>
      </c>
      <c r="B27" s="2" t="s">
        <v>53</v>
      </c>
      <c r="C27" s="2"/>
      <c r="D27" s="2" t="s">
        <v>432</v>
      </c>
    </row>
    <row r="28" spans="1:4" ht="15.75" customHeight="1">
      <c r="A28" s="8" t="s">
        <v>369</v>
      </c>
      <c r="B28" s="2" t="s">
        <v>20</v>
      </c>
      <c r="C28" s="2"/>
      <c r="D28" s="2" t="s">
        <v>433</v>
      </c>
    </row>
    <row r="29" spans="1:4" ht="15.75" customHeight="1">
      <c r="A29" s="8" t="s">
        <v>370</v>
      </c>
      <c r="B29" s="2" t="s">
        <v>27</v>
      </c>
      <c r="C29" s="2" t="s">
        <v>14</v>
      </c>
      <c r="D29" s="2" t="s">
        <v>434</v>
      </c>
    </row>
    <row r="30" spans="1:4" ht="15.75" customHeight="1">
      <c r="A30" s="8" t="s">
        <v>371</v>
      </c>
      <c r="B30" s="2" t="s">
        <v>14</v>
      </c>
      <c r="C30" s="2"/>
      <c r="D30" s="2" t="s">
        <v>435</v>
      </c>
    </row>
    <row r="31" spans="1:4" ht="15.75" customHeight="1">
      <c r="A31" s="8" t="s">
        <v>372</v>
      </c>
      <c r="B31" s="2" t="s">
        <v>45</v>
      </c>
      <c r="C31" s="2"/>
    </row>
    <row r="32" spans="1:4" ht="15.75" customHeight="1">
      <c r="A32" s="9" t="s">
        <v>373</v>
      </c>
      <c r="B32" s="2" t="s">
        <v>134</v>
      </c>
      <c r="C32" s="2"/>
    </row>
    <row r="33" spans="1:4" ht="15.75" customHeight="1">
      <c r="A33" s="9" t="s">
        <v>374</v>
      </c>
      <c r="B33" s="2" t="s">
        <v>91</v>
      </c>
      <c r="C33" s="2"/>
    </row>
    <row r="34" spans="1:4" ht="15.75" customHeight="1">
      <c r="A34" s="9" t="s">
        <v>375</v>
      </c>
      <c r="B34" s="2" t="s">
        <v>14</v>
      </c>
      <c r="C34" s="2"/>
    </row>
    <row r="35" spans="1:4" ht="15.75" customHeight="1">
      <c r="A35" s="9" t="s">
        <v>376</v>
      </c>
      <c r="B35" s="2" t="s">
        <v>5</v>
      </c>
      <c r="C35" s="2"/>
    </row>
    <row r="36" spans="1:4" ht="15.75" customHeight="1">
      <c r="A36" s="9" t="s">
        <v>377</v>
      </c>
      <c r="B36" s="2" t="s">
        <v>20</v>
      </c>
      <c r="C36" s="2"/>
      <c r="D36" s="2" t="s">
        <v>436</v>
      </c>
    </row>
    <row r="37" spans="1:4" ht="15.75" customHeight="1">
      <c r="A37" s="8" t="s">
        <v>378</v>
      </c>
      <c r="B37" s="2" t="s">
        <v>20</v>
      </c>
      <c r="C37" s="2"/>
      <c r="D37" s="2" t="s">
        <v>437</v>
      </c>
    </row>
  </sheetData>
  <phoneticPr fontId="11"/>
  <dataValidations count="1">
    <dataValidation type="list" allowBlank="1" showErrorMessage="1" sqref="B2:C37" xr:uid="{00000000-0002-0000-0300-000000000000}">
      <formula1>"Layout Shifted,Layout Changed,Size of Page/Header Changed,Specific Items are Mis-aligned,Box Size Changed,New Contents,Contents Disappeared,Box Shape Changed,Box Disappeared,Border Disappeared,Wrong Border Thickness,New Buttons,New Border Appeared,Box Col"&amp;"or Changed,Text Color Changed,Border Color Changed,Text Disappeared,Contents of Text Changed,Text Size Changed,New Text,Undefined/Wrong State is Shown,Default State is Changed,No or Few Visual Diffrences Detected,Fragile Snapshot,Focus Does Not Work,Flack"&amp;"y Test,No Changes,Image Adjusted,Image Replaced,None,OutOfScope: Duplicates,OutOfScope: Cannot access,OutOfScope: Chromatic Error,OutOfScope: New Story,OutOfScope: Not VRT Discussion"</formula1>
    </dataValidation>
  </dataValidations>
  <hyperlinks>
    <hyperlink ref="A2" r:id="rId1" location="issuecomment-2670908811" xr:uid="{00000000-0004-0000-0300-000000000000}"/>
    <hyperlink ref="A3" r:id="rId2" location="discussion_r1974730734" xr:uid="{00000000-0004-0000-0300-000001000000}"/>
    <hyperlink ref="A4" r:id="rId3" location="issuecomment-2668874799" xr:uid="{00000000-0004-0000-0300-000002000000}"/>
    <hyperlink ref="A5" r:id="rId4" location="issuecomment-2738116384" xr:uid="{00000000-0004-0000-0300-000003000000}"/>
    <hyperlink ref="A6" r:id="rId5" location="issuecomment-2750462330" xr:uid="{00000000-0004-0000-0300-000004000000}"/>
    <hyperlink ref="A7" r:id="rId6" location="issuecomment-2730449028" xr:uid="{00000000-0004-0000-0300-000005000000}"/>
    <hyperlink ref="A8" r:id="rId7" location="discussion_r2006483914" xr:uid="{00000000-0004-0000-0300-000006000000}"/>
    <hyperlink ref="A9" r:id="rId8" location="discussion_r2008301713" xr:uid="{00000000-0004-0000-0300-000007000000}"/>
    <hyperlink ref="A10" r:id="rId9" location="discussion_r1977424201" xr:uid="{00000000-0004-0000-0300-000008000000}"/>
    <hyperlink ref="A11" r:id="rId10" location="issuecomment-2703653274" xr:uid="{00000000-0004-0000-0300-000009000000}"/>
    <hyperlink ref="A12" r:id="rId11" location="issuecomment-2693948041" xr:uid="{00000000-0004-0000-0300-00000A000000}"/>
    <hyperlink ref="A13" r:id="rId12" location="issuecomment-2795597092" xr:uid="{00000000-0004-0000-0300-00000B000000}"/>
    <hyperlink ref="A14" r:id="rId13" location="discussion_r2049478574" xr:uid="{00000000-0004-0000-0300-00000C000000}"/>
    <hyperlink ref="A15" r:id="rId14" location="issuecomment-2888992525" xr:uid="{00000000-0004-0000-0300-00000D000000}"/>
    <hyperlink ref="A16" r:id="rId15" location="issuecomment-2889053424" xr:uid="{00000000-0004-0000-0300-00000E000000}"/>
    <hyperlink ref="A17" r:id="rId16" location="issuecomment-2889218109" xr:uid="{00000000-0004-0000-0300-00000F000000}"/>
    <hyperlink ref="A18" r:id="rId17" location="issuecomment-2884484097" xr:uid="{00000000-0004-0000-0300-000010000000}"/>
    <hyperlink ref="A19" r:id="rId18" location="discussion_r2096028845" xr:uid="{00000000-0004-0000-0300-000011000000}"/>
    <hyperlink ref="A20" r:id="rId19" location="discussion_r2098766914" xr:uid="{00000000-0004-0000-0300-000012000000}"/>
    <hyperlink ref="A21" r:id="rId20" location="discussion_r2103548556" xr:uid="{00000000-0004-0000-0300-000013000000}"/>
    <hyperlink ref="A22" r:id="rId21" location="issuecomment-2887722760" xr:uid="{00000000-0004-0000-0300-000014000000}"/>
    <hyperlink ref="A23" r:id="rId22" location="issuecomment-3004356312" xr:uid="{00000000-0004-0000-0300-000015000000}"/>
    <hyperlink ref="A24" r:id="rId23" location="discussion_r2150341785" xr:uid="{00000000-0004-0000-0300-000016000000}"/>
    <hyperlink ref="A25" r:id="rId24" location="discussion_r2157012512" xr:uid="{00000000-0004-0000-0300-000017000000}"/>
    <hyperlink ref="A26" r:id="rId25" location="issuecomment-3134461611" xr:uid="{00000000-0004-0000-0300-000018000000}"/>
    <hyperlink ref="A27" r:id="rId26" location="issuecomment-3050388713" xr:uid="{00000000-0004-0000-0300-000019000000}"/>
    <hyperlink ref="A28" r:id="rId27" location="discussion_r2226684249" xr:uid="{00000000-0004-0000-0300-00001A000000}"/>
    <hyperlink ref="A29" r:id="rId28" location="issuecomment-3037435884" xr:uid="{00000000-0004-0000-0300-00001B000000}"/>
    <hyperlink ref="A30" r:id="rId29" location="issuecomment-3104643517" xr:uid="{00000000-0004-0000-0300-00001C000000}"/>
    <hyperlink ref="A31" r:id="rId30" location="discussion_r2294739847" xr:uid="{00000000-0004-0000-0300-00001D000000}"/>
    <hyperlink ref="A32" r:id="rId31" location="discussion_r2279534507" xr:uid="{00000000-0004-0000-0300-00001E000000}"/>
    <hyperlink ref="A33" r:id="rId32" location="discussion_r2380229424" xr:uid="{00000000-0004-0000-0300-00001F000000}"/>
    <hyperlink ref="A34" r:id="rId33" location="issuecomment-3314117225" xr:uid="{00000000-0004-0000-0300-000020000000}"/>
    <hyperlink ref="A35" r:id="rId34" location="issuecomment-3274242189" xr:uid="{00000000-0004-0000-0300-000021000000}"/>
    <hyperlink ref="A36" r:id="rId35" location="discussion_r2349918819" xr:uid="{00000000-0004-0000-0300-000022000000}"/>
    <hyperlink ref="A37" r:id="rId36" location="discussion_r2353846205" xr:uid="{00000000-0004-0000-0300-00002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37"/>
  <sheetViews>
    <sheetView workbookViewId="0"/>
  </sheetViews>
  <sheetFormatPr baseColWidth="10" defaultColWidth="12.6640625" defaultRowHeight="15.75" customHeight="1"/>
  <cols>
    <col min="1" max="1" width="80.5" customWidth="1"/>
    <col min="2" max="2" width="24.83203125" customWidth="1"/>
    <col min="3" max="3" width="76.83203125" customWidth="1"/>
    <col min="4" max="4" width="32" customWidth="1"/>
  </cols>
  <sheetData>
    <row r="1" spans="1:4" ht="15.75" customHeight="1">
      <c r="A1" s="2" t="s">
        <v>415</v>
      </c>
      <c r="B1" s="2" t="s">
        <v>414</v>
      </c>
      <c r="C1" s="2" t="s">
        <v>414</v>
      </c>
      <c r="D1" s="2" t="s">
        <v>416</v>
      </c>
    </row>
    <row r="2" spans="1:4" ht="15.75" customHeight="1">
      <c r="A2" s="8" t="s">
        <v>191</v>
      </c>
      <c r="B2" s="2" t="s">
        <v>20</v>
      </c>
      <c r="C2" s="2"/>
    </row>
    <row r="3" spans="1:4" ht="15.75" customHeight="1">
      <c r="A3" s="9" t="s">
        <v>345</v>
      </c>
      <c r="B3" s="2" t="s">
        <v>53</v>
      </c>
      <c r="C3" s="2"/>
    </row>
    <row r="4" spans="1:4" ht="15.75" customHeight="1">
      <c r="A4" s="9" t="s">
        <v>192</v>
      </c>
      <c r="B4" s="2" t="s">
        <v>14</v>
      </c>
      <c r="C4" s="2"/>
    </row>
    <row r="5" spans="1:4" ht="15.75" customHeight="1">
      <c r="A5" s="9" t="s">
        <v>346</v>
      </c>
      <c r="B5" s="2" t="s">
        <v>5</v>
      </c>
      <c r="C5" s="2"/>
    </row>
    <row r="6" spans="1:4" ht="15.75" customHeight="1">
      <c r="A6" s="9" t="s">
        <v>347</v>
      </c>
      <c r="B6" s="2" t="s">
        <v>5</v>
      </c>
      <c r="C6" s="2"/>
    </row>
    <row r="7" spans="1:4" ht="15.75" customHeight="1">
      <c r="A7" s="8" t="s">
        <v>348</v>
      </c>
      <c r="B7" s="2" t="s">
        <v>179</v>
      </c>
      <c r="C7" s="2"/>
    </row>
    <row r="8" spans="1:4" ht="15.75" customHeight="1">
      <c r="A8" s="9" t="s">
        <v>349</v>
      </c>
      <c r="B8" s="2" t="s">
        <v>20</v>
      </c>
      <c r="C8" s="2"/>
    </row>
    <row r="9" spans="1:4" ht="15.75" customHeight="1">
      <c r="A9" s="8" t="s">
        <v>350</v>
      </c>
      <c r="B9" s="2" t="s">
        <v>20</v>
      </c>
      <c r="C9" s="2"/>
    </row>
    <row r="10" spans="1:4" ht="15.75" customHeight="1">
      <c r="A10" s="9" t="s">
        <v>351</v>
      </c>
      <c r="B10" s="2" t="s">
        <v>75</v>
      </c>
      <c r="C10" s="2"/>
    </row>
    <row r="11" spans="1:4" ht="15.75" customHeight="1">
      <c r="A11" s="9" t="s">
        <v>352</v>
      </c>
      <c r="B11" s="2" t="s">
        <v>23</v>
      </c>
      <c r="C11" s="2"/>
    </row>
    <row r="12" spans="1:4" ht="15.75" customHeight="1">
      <c r="A12" s="9" t="s">
        <v>353</v>
      </c>
      <c r="B12" s="2" t="s">
        <v>134</v>
      </c>
      <c r="C12" s="2"/>
    </row>
    <row r="13" spans="1:4" ht="15.75" customHeight="1">
      <c r="A13" s="9" t="s">
        <v>354</v>
      </c>
      <c r="B13" s="2" t="s">
        <v>20</v>
      </c>
      <c r="C13" s="2"/>
    </row>
    <row r="14" spans="1:4" ht="15.75" customHeight="1">
      <c r="A14" s="8" t="s">
        <v>355</v>
      </c>
      <c r="B14" s="2" t="s">
        <v>27</v>
      </c>
      <c r="C14" s="2" t="s">
        <v>45</v>
      </c>
    </row>
    <row r="15" spans="1:4" ht="15.75" customHeight="1">
      <c r="A15" s="9" t="s">
        <v>356</v>
      </c>
      <c r="B15" s="2" t="s">
        <v>14</v>
      </c>
      <c r="C15" s="2"/>
    </row>
    <row r="16" spans="1:4" ht="15.75" customHeight="1">
      <c r="A16" s="9" t="s">
        <v>357</v>
      </c>
      <c r="B16" s="2" t="s">
        <v>5</v>
      </c>
      <c r="C16" s="2"/>
    </row>
    <row r="17" spans="1:4" ht="15.75" customHeight="1">
      <c r="A17" s="8" t="s">
        <v>358</v>
      </c>
      <c r="B17" s="2" t="s">
        <v>14</v>
      </c>
      <c r="C17" s="2"/>
    </row>
    <row r="18" spans="1:4" ht="15.75" customHeight="1">
      <c r="A18" s="8" t="s">
        <v>359</v>
      </c>
      <c r="B18" s="2" t="s">
        <v>14</v>
      </c>
      <c r="C18" s="2"/>
    </row>
    <row r="19" spans="1:4" ht="15.75" customHeight="1">
      <c r="A19" s="9" t="s">
        <v>360</v>
      </c>
      <c r="B19" s="2" t="s">
        <v>20</v>
      </c>
      <c r="C19" s="2"/>
    </row>
    <row r="20" spans="1:4" ht="15.75" customHeight="1">
      <c r="A20" s="9" t="s">
        <v>361</v>
      </c>
      <c r="B20" s="2" t="s">
        <v>20</v>
      </c>
      <c r="C20" s="2"/>
    </row>
    <row r="21" spans="1:4" ht="15.75" customHeight="1">
      <c r="A21" s="8" t="s">
        <v>362</v>
      </c>
      <c r="B21" s="2" t="s">
        <v>20</v>
      </c>
      <c r="C21" s="2"/>
    </row>
    <row r="22" spans="1:4" ht="15.75" customHeight="1">
      <c r="A22" s="8" t="s">
        <v>363</v>
      </c>
      <c r="B22" s="2" t="s">
        <v>20</v>
      </c>
      <c r="C22" s="2"/>
    </row>
    <row r="23" spans="1:4" ht="15.75" customHeight="1">
      <c r="A23" s="8" t="s">
        <v>364</v>
      </c>
      <c r="B23" s="2" t="s">
        <v>26</v>
      </c>
      <c r="C23" s="2"/>
    </row>
    <row r="24" spans="1:4" ht="15.75" customHeight="1">
      <c r="A24" s="8" t="s">
        <v>365</v>
      </c>
      <c r="B24" s="2" t="s">
        <v>20</v>
      </c>
      <c r="C24" s="2"/>
    </row>
    <row r="25" spans="1:4" ht="15.75" customHeight="1">
      <c r="A25" s="9" t="s">
        <v>366</v>
      </c>
      <c r="B25" s="2" t="s">
        <v>31</v>
      </c>
      <c r="C25" s="2"/>
      <c r="D25" s="2" t="s">
        <v>438</v>
      </c>
    </row>
    <row r="26" spans="1:4" ht="15.75" customHeight="1">
      <c r="A26" s="9" t="s">
        <v>367</v>
      </c>
      <c r="B26" s="2" t="s">
        <v>14</v>
      </c>
      <c r="C26" s="2"/>
    </row>
    <row r="27" spans="1:4" ht="15.75" customHeight="1">
      <c r="A27" s="9" t="s">
        <v>368</v>
      </c>
      <c r="B27" s="2" t="s">
        <v>53</v>
      </c>
      <c r="C27" s="2"/>
    </row>
    <row r="28" spans="1:4" ht="15.75" customHeight="1">
      <c r="A28" s="8" t="s">
        <v>369</v>
      </c>
      <c r="B28" s="2" t="s">
        <v>20</v>
      </c>
      <c r="C28" s="2"/>
    </row>
    <row r="29" spans="1:4" ht="15.75" customHeight="1">
      <c r="A29" s="8" t="s">
        <v>370</v>
      </c>
      <c r="B29" s="2" t="s">
        <v>14</v>
      </c>
      <c r="C29" s="2" t="s">
        <v>27</v>
      </c>
    </row>
    <row r="30" spans="1:4" ht="15.75" customHeight="1">
      <c r="A30" s="8" t="s">
        <v>371</v>
      </c>
      <c r="B30" s="2" t="s">
        <v>14</v>
      </c>
      <c r="C30" s="2"/>
    </row>
    <row r="31" spans="1:4" ht="15.75" customHeight="1">
      <c r="A31" s="8" t="s">
        <v>372</v>
      </c>
      <c r="B31" s="2" t="s">
        <v>45</v>
      </c>
      <c r="C31" s="2"/>
    </row>
    <row r="32" spans="1:4" ht="15.75" customHeight="1">
      <c r="A32" s="9" t="s">
        <v>373</v>
      </c>
      <c r="B32" s="2" t="s">
        <v>134</v>
      </c>
      <c r="C32" s="2"/>
    </row>
    <row r="33" spans="1:3" ht="15.75" customHeight="1">
      <c r="A33" s="9" t="s">
        <v>374</v>
      </c>
      <c r="B33" s="2" t="s">
        <v>91</v>
      </c>
      <c r="C33" s="2"/>
    </row>
    <row r="34" spans="1:3" ht="15.75" customHeight="1">
      <c r="A34" s="9" t="s">
        <v>375</v>
      </c>
      <c r="B34" s="2" t="s">
        <v>27</v>
      </c>
      <c r="C34" s="2"/>
    </row>
    <row r="35" spans="1:3" ht="15.75" customHeight="1">
      <c r="A35" s="9" t="s">
        <v>376</v>
      </c>
      <c r="B35" s="2" t="s">
        <v>14</v>
      </c>
      <c r="C35" s="2"/>
    </row>
    <row r="36" spans="1:3" ht="15.75" customHeight="1">
      <c r="A36" s="9" t="s">
        <v>377</v>
      </c>
      <c r="B36" s="2" t="s">
        <v>20</v>
      </c>
      <c r="C36" s="2"/>
    </row>
    <row r="37" spans="1:3" ht="15.75" customHeight="1">
      <c r="A37" s="8" t="s">
        <v>378</v>
      </c>
      <c r="B37" s="2" t="s">
        <v>20</v>
      </c>
      <c r="C37" s="2"/>
    </row>
  </sheetData>
  <phoneticPr fontId="11"/>
  <dataValidations count="1">
    <dataValidation type="list" allowBlank="1" showErrorMessage="1" sqref="B2:C37" xr:uid="{00000000-0002-0000-0400-000000000000}">
      <formula1>"Layout Shifted,Layout Changed,Size of Page/Header Changed,Specific Items are Mis-aligned,Box Size Changed,New Contents,Contents Disappeared,Box Shape Changed,Box Disappeared,Border Disappeared,Wrong Border Thickness,New Buttons,New Border Appeared,Box Col"&amp;"or Changed,Text Color Changed,Border Color Changed,Text Disappeared,Contents of Text Changed,Text Size Changed,New Text,Undefined/Wrong State is Shown,Default State is Changed,No or Few Visual Diffrences Detected,Fragile Snapshot,Focus Does Not Work,Flack"&amp;"y Test,No Changes,Image Adjusted,Image Replaced,None,OutOfScope: Duplicates,OutOfScope: Cannot access,OutOfScope: Chromatic Error,OutOfScope: New Story,OutOfScope: Not VRT Discussion"</formula1>
    </dataValidation>
  </dataValidations>
  <hyperlinks>
    <hyperlink ref="A2" r:id="rId1" location="issuecomment-2670908811" xr:uid="{00000000-0004-0000-0400-000000000000}"/>
    <hyperlink ref="A3" r:id="rId2" location="discussion_r1974730734" xr:uid="{00000000-0004-0000-0400-000001000000}"/>
    <hyperlink ref="A4" r:id="rId3" location="issuecomment-2668874799" xr:uid="{00000000-0004-0000-0400-000002000000}"/>
    <hyperlink ref="A5" r:id="rId4" location="issuecomment-2738116384" xr:uid="{00000000-0004-0000-0400-000003000000}"/>
    <hyperlink ref="A6" r:id="rId5" location="issuecomment-2750462330" xr:uid="{00000000-0004-0000-0400-000004000000}"/>
    <hyperlink ref="A7" r:id="rId6" location="issuecomment-2730449028" xr:uid="{00000000-0004-0000-0400-000005000000}"/>
    <hyperlink ref="A8" r:id="rId7" location="discussion_r2006483914" xr:uid="{00000000-0004-0000-0400-000006000000}"/>
    <hyperlink ref="A9" r:id="rId8" location="discussion_r2008301713" xr:uid="{00000000-0004-0000-0400-000007000000}"/>
    <hyperlink ref="A10" r:id="rId9" location="discussion_r1977424201" xr:uid="{00000000-0004-0000-0400-000008000000}"/>
    <hyperlink ref="A11" r:id="rId10" location="issuecomment-2703653274" xr:uid="{00000000-0004-0000-0400-000009000000}"/>
    <hyperlink ref="A12" r:id="rId11" location="issuecomment-2693948041" xr:uid="{00000000-0004-0000-0400-00000A000000}"/>
    <hyperlink ref="A13" r:id="rId12" location="issuecomment-2795597092" xr:uid="{00000000-0004-0000-0400-00000B000000}"/>
    <hyperlink ref="A14" r:id="rId13" location="discussion_r2049478574" xr:uid="{00000000-0004-0000-0400-00000C000000}"/>
    <hyperlink ref="A15" r:id="rId14" location="issuecomment-2888992525" xr:uid="{00000000-0004-0000-0400-00000D000000}"/>
    <hyperlink ref="A16" r:id="rId15" location="issuecomment-2889053424" xr:uid="{00000000-0004-0000-0400-00000E000000}"/>
    <hyperlink ref="A17" r:id="rId16" location="issuecomment-2889218109" xr:uid="{00000000-0004-0000-0400-00000F000000}"/>
    <hyperlink ref="A18" r:id="rId17" location="issuecomment-2884484097" xr:uid="{00000000-0004-0000-0400-000010000000}"/>
    <hyperlink ref="A19" r:id="rId18" location="discussion_r2096028845" xr:uid="{00000000-0004-0000-0400-000011000000}"/>
    <hyperlink ref="A20" r:id="rId19" location="discussion_r2098766914" xr:uid="{00000000-0004-0000-0400-000012000000}"/>
    <hyperlink ref="A21" r:id="rId20" location="discussion_r2103548556" xr:uid="{00000000-0004-0000-0400-000013000000}"/>
    <hyperlink ref="A22" r:id="rId21" location="issuecomment-2887722760" xr:uid="{00000000-0004-0000-0400-000014000000}"/>
    <hyperlink ref="A23" r:id="rId22" location="issuecomment-3004356312" xr:uid="{00000000-0004-0000-0400-000015000000}"/>
    <hyperlink ref="A24" r:id="rId23" location="discussion_r2150341785" xr:uid="{00000000-0004-0000-0400-000016000000}"/>
    <hyperlink ref="A25" r:id="rId24" location="discussion_r2157012512" xr:uid="{00000000-0004-0000-0400-000017000000}"/>
    <hyperlink ref="A26" r:id="rId25" location="issuecomment-3134461611" xr:uid="{00000000-0004-0000-0400-000018000000}"/>
    <hyperlink ref="A27" r:id="rId26" location="issuecomment-3050388713" xr:uid="{00000000-0004-0000-0400-000019000000}"/>
    <hyperlink ref="A28" r:id="rId27" location="discussion_r2226684249" xr:uid="{00000000-0004-0000-0400-00001A000000}"/>
    <hyperlink ref="A29" r:id="rId28" location="issuecomment-3037435884" xr:uid="{00000000-0004-0000-0400-00001B000000}"/>
    <hyperlink ref="A30" r:id="rId29" location="issuecomment-3104643517" xr:uid="{00000000-0004-0000-0400-00001C000000}"/>
    <hyperlink ref="A31" r:id="rId30" location="discussion_r2294739847" xr:uid="{00000000-0004-0000-0400-00001D000000}"/>
    <hyperlink ref="A32" r:id="rId31" location="discussion_r2279534507" xr:uid="{00000000-0004-0000-0400-00001E000000}"/>
    <hyperlink ref="A33" r:id="rId32" location="discussion_r2380229424" xr:uid="{00000000-0004-0000-0400-00001F000000}"/>
    <hyperlink ref="A34" r:id="rId33" location="issuecomment-3314117225" xr:uid="{00000000-0004-0000-0400-000020000000}"/>
    <hyperlink ref="A35" r:id="rId34" location="issuecomment-3274242189" xr:uid="{00000000-0004-0000-0400-000021000000}"/>
    <hyperlink ref="A36" r:id="rId35" location="discussion_r2349918819" xr:uid="{00000000-0004-0000-0400-000022000000}"/>
    <hyperlink ref="A37" r:id="rId36" location="discussion_r2353846205" xr:uid="{00000000-0004-0000-0400-000023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43"/>
  <sheetViews>
    <sheetView tabSelected="1" workbookViewId="0">
      <selection activeCell="F28" sqref="F28"/>
    </sheetView>
  </sheetViews>
  <sheetFormatPr baseColWidth="10" defaultColWidth="12.6640625" defaultRowHeight="15.75" customHeight="1"/>
  <sheetData>
    <row r="1" spans="1:4" ht="15.75" customHeight="1">
      <c r="A1" s="18" t="s">
        <v>1</v>
      </c>
      <c r="B1" s="18"/>
      <c r="C1" s="18" t="s">
        <v>439</v>
      </c>
      <c r="D1" s="18"/>
    </row>
    <row r="2" spans="1:4" ht="15.75" customHeight="1">
      <c r="A2" s="18" t="s">
        <v>14</v>
      </c>
      <c r="B2" s="18">
        <v>42</v>
      </c>
      <c r="C2" s="18" t="s">
        <v>440</v>
      </c>
      <c r="D2" s="18">
        <v>75</v>
      </c>
    </row>
    <row r="3" spans="1:4" ht="15.75" customHeight="1">
      <c r="A3" s="18" t="s">
        <v>23</v>
      </c>
      <c r="B3" s="18">
        <v>12</v>
      </c>
      <c r="C3" s="18" t="s">
        <v>441</v>
      </c>
      <c r="D3" s="18">
        <v>52</v>
      </c>
    </row>
    <row r="4" spans="1:4" ht="15.75" customHeight="1">
      <c r="A4" s="18" t="s">
        <v>7</v>
      </c>
      <c r="B4" s="18">
        <v>11</v>
      </c>
      <c r="C4" s="18" t="s">
        <v>442</v>
      </c>
      <c r="D4" s="18">
        <v>28</v>
      </c>
    </row>
    <row r="5" spans="1:4" ht="15.75" customHeight="1">
      <c r="A5" s="18" t="s">
        <v>130</v>
      </c>
      <c r="B5" s="18">
        <v>10</v>
      </c>
      <c r="C5" s="18" t="s">
        <v>443</v>
      </c>
      <c r="D5" s="18">
        <v>18</v>
      </c>
    </row>
    <row r="6" spans="1:4" ht="15.75" customHeight="1">
      <c r="A6" s="18" t="s">
        <v>51</v>
      </c>
      <c r="B6" s="18">
        <v>18</v>
      </c>
      <c r="C6" s="18" t="s">
        <v>444</v>
      </c>
      <c r="D6" s="18">
        <v>13</v>
      </c>
    </row>
    <row r="7" spans="1:4" ht="15.75" customHeight="1">
      <c r="A7" s="18" t="s">
        <v>27</v>
      </c>
      <c r="B7" s="18">
        <v>10</v>
      </c>
      <c r="C7" s="18" t="s">
        <v>445</v>
      </c>
      <c r="D7" s="18">
        <v>12</v>
      </c>
    </row>
    <row r="8" spans="1:4" ht="15.75" customHeight="1">
      <c r="A8" s="18" t="s">
        <v>43</v>
      </c>
      <c r="B8" s="18">
        <v>6</v>
      </c>
      <c r="C8" s="18" t="s">
        <v>446</v>
      </c>
      <c r="D8" s="18">
        <v>8</v>
      </c>
    </row>
    <row r="9" spans="1:4" ht="15.75" customHeight="1">
      <c r="A9" s="18" t="s">
        <v>179</v>
      </c>
      <c r="B9" s="18">
        <v>6</v>
      </c>
      <c r="C9" s="18"/>
      <c r="D9" s="18"/>
    </row>
    <row r="10" spans="1:4" ht="15.75" customHeight="1">
      <c r="A10" s="18" t="s">
        <v>197</v>
      </c>
      <c r="B10" s="18">
        <v>4</v>
      </c>
      <c r="C10" s="18" t="s">
        <v>447</v>
      </c>
      <c r="D10" s="18">
        <v>206</v>
      </c>
    </row>
    <row r="11" spans="1:4" ht="15.75" customHeight="1">
      <c r="A11" s="18" t="s">
        <v>18</v>
      </c>
      <c r="B11" s="18">
        <v>3</v>
      </c>
      <c r="C11" s="18" t="s">
        <v>468</v>
      </c>
      <c r="D11" s="18">
        <v>155</v>
      </c>
    </row>
    <row r="12" spans="1:4" ht="15.75" customHeight="1">
      <c r="A12" s="18" t="s">
        <v>94</v>
      </c>
      <c r="B12" s="18">
        <v>2</v>
      </c>
      <c r="C12" s="18" t="s">
        <v>448</v>
      </c>
      <c r="D12" s="18">
        <v>361</v>
      </c>
    </row>
    <row r="13" spans="1:4" ht="15.75" customHeight="1">
      <c r="A13" s="18" t="s">
        <v>148</v>
      </c>
      <c r="B13" s="18">
        <v>2</v>
      </c>
      <c r="C13" s="18"/>
      <c r="D13" s="18"/>
    </row>
    <row r="14" spans="1:4" ht="15.75" customHeight="1">
      <c r="A14" s="18" t="s">
        <v>97</v>
      </c>
      <c r="B14" s="18">
        <v>1</v>
      </c>
      <c r="C14" s="18"/>
      <c r="D14" s="18"/>
    </row>
    <row r="15" spans="1:4" ht="15.75" customHeight="1">
      <c r="A15" s="18" t="s">
        <v>45</v>
      </c>
      <c r="B15" s="18">
        <v>16</v>
      </c>
      <c r="C15" s="18"/>
      <c r="D15" s="18"/>
    </row>
    <row r="16" spans="1:4" ht="15.75" customHeight="1">
      <c r="A16" s="18" t="s">
        <v>63</v>
      </c>
      <c r="B16" s="18">
        <v>8</v>
      </c>
      <c r="C16" s="18"/>
      <c r="D16" s="18"/>
    </row>
    <row r="17" spans="1:4" ht="15.75" customHeight="1">
      <c r="A17" s="18" t="s">
        <v>134</v>
      </c>
      <c r="B17" s="18">
        <v>4</v>
      </c>
      <c r="C17" s="18"/>
      <c r="D17" s="18"/>
    </row>
    <row r="18" spans="1:4" ht="15.75" customHeight="1">
      <c r="A18" s="18" t="s">
        <v>26</v>
      </c>
      <c r="B18" s="18">
        <v>7</v>
      </c>
      <c r="C18" s="18"/>
      <c r="D18" s="18"/>
    </row>
    <row r="19" spans="1:4" ht="15.75" customHeight="1">
      <c r="A19" s="18" t="s">
        <v>75</v>
      </c>
      <c r="B19" s="18">
        <v>5</v>
      </c>
      <c r="C19" s="18"/>
      <c r="D19" s="18"/>
    </row>
    <row r="20" spans="1:4" ht="15.75" customHeight="1">
      <c r="A20" s="18" t="s">
        <v>11</v>
      </c>
      <c r="B20" s="18">
        <v>3</v>
      </c>
      <c r="C20" s="18"/>
      <c r="D20" s="18"/>
    </row>
    <row r="21" spans="1:4" ht="15.75" customHeight="1">
      <c r="A21" s="18" t="s">
        <v>121</v>
      </c>
      <c r="B21" s="18">
        <v>3</v>
      </c>
      <c r="C21" s="18"/>
      <c r="D21" s="18"/>
    </row>
    <row r="22" spans="1:4" ht="15.75" customHeight="1">
      <c r="A22" s="18" t="s">
        <v>31</v>
      </c>
      <c r="B22" s="18">
        <v>8</v>
      </c>
      <c r="C22" s="18"/>
      <c r="D22" s="18"/>
    </row>
    <row r="23" spans="1:4" ht="15.75" customHeight="1">
      <c r="A23" s="18" t="s">
        <v>34</v>
      </c>
      <c r="B23" s="18">
        <v>5</v>
      </c>
      <c r="C23" s="18"/>
      <c r="D23" s="18"/>
    </row>
    <row r="24" spans="1:4" ht="15.75" customHeight="1">
      <c r="A24" s="18" t="s">
        <v>160</v>
      </c>
      <c r="B24" s="18">
        <v>5</v>
      </c>
      <c r="C24" s="18"/>
      <c r="D24" s="18"/>
    </row>
    <row r="25" spans="1:4" ht="15.75" customHeight="1">
      <c r="A25" s="18" t="s">
        <v>239</v>
      </c>
      <c r="B25" s="18">
        <v>3</v>
      </c>
      <c r="C25" s="18"/>
      <c r="D25" s="18"/>
    </row>
    <row r="26" spans="1:4" ht="15.75" customHeight="1">
      <c r="A26" s="18" t="s">
        <v>3</v>
      </c>
      <c r="B26" s="18">
        <v>2</v>
      </c>
      <c r="C26" s="18"/>
      <c r="D26" s="18"/>
    </row>
    <row r="27" spans="1:4" ht="15.75" customHeight="1">
      <c r="A27" s="18" t="s">
        <v>153</v>
      </c>
      <c r="B27" s="18">
        <v>1</v>
      </c>
      <c r="C27" s="18"/>
      <c r="D27" s="18"/>
    </row>
    <row r="28" spans="1:4" ht="15.75" customHeight="1">
      <c r="A28" s="18" t="s">
        <v>195</v>
      </c>
      <c r="B28" s="18">
        <v>1</v>
      </c>
      <c r="C28" s="18"/>
      <c r="D28" s="18"/>
    </row>
    <row r="29" spans="1:4" ht="15.75" customHeight="1">
      <c r="A29" s="18" t="s">
        <v>85</v>
      </c>
      <c r="B29" s="18">
        <v>6</v>
      </c>
      <c r="C29" s="18"/>
      <c r="D29" s="18"/>
    </row>
    <row r="30" spans="1:4" ht="15.75" customHeight="1">
      <c r="A30" s="18" t="s">
        <v>22</v>
      </c>
      <c r="B30" s="18">
        <v>2</v>
      </c>
      <c r="C30" s="18"/>
      <c r="D30" s="18"/>
    </row>
    <row r="31" spans="1:4" ht="15.75" customHeight="1">
      <c r="A31" s="18" t="s">
        <v>70</v>
      </c>
      <c r="B31" s="18">
        <v>3</v>
      </c>
      <c r="C31" s="18"/>
      <c r="D31" s="18"/>
    </row>
    <row r="32" spans="1:4" ht="15.75" customHeight="1">
      <c r="A32" s="18" t="s">
        <v>5</v>
      </c>
      <c r="B32" s="18">
        <v>58</v>
      </c>
      <c r="C32" s="18"/>
      <c r="D32" s="18"/>
    </row>
    <row r="33" spans="1:4" ht="15.75" customHeight="1">
      <c r="A33" s="18" t="s">
        <v>9</v>
      </c>
      <c r="B33" s="18">
        <v>17</v>
      </c>
      <c r="C33" s="18"/>
      <c r="D33" s="18"/>
    </row>
    <row r="34" spans="1:4" ht="15.75" customHeight="1">
      <c r="A34" s="18" t="s">
        <v>91</v>
      </c>
      <c r="B34" s="18">
        <v>10</v>
      </c>
      <c r="C34" s="18"/>
      <c r="D34" s="18"/>
    </row>
    <row r="35" spans="1:4" ht="15.75" customHeight="1">
      <c r="A35" s="18" t="s">
        <v>20</v>
      </c>
      <c r="B35" s="18">
        <v>61</v>
      </c>
      <c r="C35" s="18"/>
      <c r="D35" s="18"/>
    </row>
    <row r="36" spans="1:4" ht="15.75" customHeight="1">
      <c r="A36" s="18" t="s">
        <v>53</v>
      </c>
      <c r="B36" s="18">
        <v>6</v>
      </c>
      <c r="C36" s="18"/>
      <c r="D36" s="18"/>
    </row>
    <row r="37" spans="1:4" ht="15.75" customHeight="1">
      <c r="A37" s="18"/>
      <c r="B37" s="18"/>
      <c r="C37" s="18"/>
      <c r="D37" s="18"/>
    </row>
    <row r="38" spans="1:4" ht="15.75" customHeight="1">
      <c r="A38" s="18" t="s">
        <v>449</v>
      </c>
      <c r="B38" s="18">
        <v>58</v>
      </c>
      <c r="C38" s="18"/>
      <c r="D38" s="18"/>
    </row>
    <row r="39" spans="1:4" ht="15.75" customHeight="1">
      <c r="A39" s="18" t="s">
        <v>450</v>
      </c>
      <c r="B39" s="18">
        <v>17</v>
      </c>
      <c r="C39" s="18"/>
      <c r="D39" s="18"/>
    </row>
    <row r="40" spans="1:4" ht="15.75" customHeight="1">
      <c r="A40" s="18" t="s">
        <v>451</v>
      </c>
      <c r="B40" s="18">
        <v>9</v>
      </c>
      <c r="C40" s="18"/>
      <c r="D40" s="18"/>
    </row>
    <row r="41" spans="1:4" ht="15.75" customHeight="1">
      <c r="A41" s="18" t="s">
        <v>452</v>
      </c>
      <c r="B41" s="18">
        <v>61</v>
      </c>
      <c r="C41" s="18"/>
      <c r="D41" s="18"/>
    </row>
    <row r="42" spans="1:4" ht="15.75" customHeight="1">
      <c r="A42" s="18" t="s">
        <v>453</v>
      </c>
      <c r="B42" s="18">
        <v>10</v>
      </c>
      <c r="C42" s="18"/>
      <c r="D42" s="18"/>
    </row>
    <row r="43" spans="1:4" ht="15.75" customHeight="1">
      <c r="A43" s="18"/>
      <c r="B43" s="18"/>
      <c r="C43" s="18"/>
      <c r="D43" s="18"/>
    </row>
  </sheetData>
  <phoneticPr fontId="1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349"/>
  <sheetViews>
    <sheetView workbookViewId="0"/>
  </sheetViews>
  <sheetFormatPr baseColWidth="10" defaultColWidth="12.6640625" defaultRowHeight="15.75" customHeight="1"/>
  <cols>
    <col min="1" max="1" width="85.5" customWidth="1"/>
    <col min="2" max="2" width="32.5" customWidth="1"/>
    <col min="3" max="3" width="27.1640625" customWidth="1"/>
    <col min="4" max="4" width="40.6640625" customWidth="1"/>
    <col min="5" max="6" width="30.5" customWidth="1"/>
    <col min="7" max="7" width="27.33203125" customWidth="1"/>
    <col min="8" max="8" width="26.1640625" customWidth="1"/>
    <col min="9" max="9" width="30.83203125" customWidth="1"/>
    <col min="10" max="10" width="32.6640625" customWidth="1"/>
  </cols>
  <sheetData>
    <row r="1" spans="1:12" ht="15.75" customHeight="1">
      <c r="A1" s="2" t="s">
        <v>415</v>
      </c>
      <c r="B1" s="11" t="s">
        <v>454</v>
      </c>
      <c r="C1" s="11" t="s">
        <v>454</v>
      </c>
      <c r="D1" s="12" t="s">
        <v>455</v>
      </c>
      <c r="E1" s="12" t="s">
        <v>455</v>
      </c>
      <c r="F1" s="2" t="s">
        <v>456</v>
      </c>
      <c r="G1" s="13" t="s">
        <v>457</v>
      </c>
      <c r="H1" s="13" t="s">
        <v>457</v>
      </c>
      <c r="I1" s="14" t="s">
        <v>458</v>
      </c>
      <c r="J1" s="14" t="s">
        <v>458</v>
      </c>
      <c r="K1" s="2" t="s">
        <v>459</v>
      </c>
    </row>
    <row r="2" spans="1:12" ht="15.75" customHeight="1">
      <c r="A2" s="9" t="s">
        <v>345</v>
      </c>
      <c r="B2" s="11" t="s">
        <v>53</v>
      </c>
      <c r="C2" s="11"/>
      <c r="D2" s="12" t="s">
        <v>53</v>
      </c>
      <c r="E2" s="12"/>
      <c r="F2" s="2" t="str">
        <f t="shared" ref="F2:F35" si="0">IF(OR(AND(B2=D2, C2=E2), AND(B2=E2, C2=D2)), "ok", "conflict")</f>
        <v>ok</v>
      </c>
      <c r="G2" s="13"/>
      <c r="H2" s="13"/>
      <c r="I2" s="14" t="str">
        <f t="shared" ref="I2:I35" si="1">IF(F2="ok",B2,G2)</f>
        <v>OutOfScope: Not VRT Discussion</v>
      </c>
      <c r="J2" s="14">
        <f t="shared" ref="J2:J35" si="2">IF(F2="ok",C2,H2)</f>
        <v>0</v>
      </c>
      <c r="K2" s="2">
        <f t="shared" ref="K2:K35" si="3">COUNTIF(D2:E2, B2) + IF(AND(C2&lt;&gt;"", C2&lt;&gt;B2), COUNTIF(D2:E2, C2), 0)</f>
        <v>1</v>
      </c>
      <c r="L2" s="15">
        <f t="shared" ref="L2:L35" si="4">IF(B2&lt;&gt;"", IF(COUNTIF(D2:E2, B2)=0, 1, 0), 0) + IF(AND(C2&lt;&gt;"", C2&lt;&gt;B2), IF(COUNTIF(D2:E2, C2)=0, 1, 0), 0) + IF(D2&lt;&gt;"", IF(COUNTIF(B2:C2, D2)=0, 1, 0), 0) + IF(AND(E2&lt;&gt;"", E2&lt;&gt;D2), IF(COUNTIF(B2:C2, E2)=0, 1, 0), 0)</f>
        <v>0</v>
      </c>
    </row>
    <row r="3" spans="1:12" ht="15.75" customHeight="1">
      <c r="A3" s="9" t="s">
        <v>346</v>
      </c>
      <c r="B3" s="11" t="s">
        <v>5</v>
      </c>
      <c r="C3" s="11"/>
      <c r="D3" s="12" t="s">
        <v>5</v>
      </c>
      <c r="E3" s="12"/>
      <c r="F3" s="2" t="str">
        <f t="shared" si="0"/>
        <v>ok</v>
      </c>
      <c r="G3" s="13"/>
      <c r="H3" s="13"/>
      <c r="I3" s="14" t="str">
        <f t="shared" si="1"/>
        <v>OutOfScope: Duplicates</v>
      </c>
      <c r="J3" s="14">
        <f t="shared" si="2"/>
        <v>0</v>
      </c>
      <c r="K3" s="2">
        <f t="shared" si="3"/>
        <v>1</v>
      </c>
      <c r="L3" s="15">
        <f t="shared" si="4"/>
        <v>0</v>
      </c>
    </row>
    <row r="4" spans="1:12" ht="15.75" customHeight="1">
      <c r="A4" s="9" t="s">
        <v>347</v>
      </c>
      <c r="B4" s="11" t="s">
        <v>5</v>
      </c>
      <c r="C4" s="11"/>
      <c r="D4" s="12" t="s">
        <v>5</v>
      </c>
      <c r="E4" s="12"/>
      <c r="F4" s="2" t="str">
        <f t="shared" si="0"/>
        <v>ok</v>
      </c>
      <c r="G4" s="13"/>
      <c r="H4" s="13"/>
      <c r="I4" s="14" t="str">
        <f t="shared" si="1"/>
        <v>OutOfScope: Duplicates</v>
      </c>
      <c r="J4" s="14">
        <f t="shared" si="2"/>
        <v>0</v>
      </c>
      <c r="K4" s="2">
        <f t="shared" si="3"/>
        <v>1</v>
      </c>
      <c r="L4" s="15">
        <f t="shared" si="4"/>
        <v>0</v>
      </c>
    </row>
    <row r="5" spans="1:12" ht="15.75" customHeight="1">
      <c r="A5" s="8" t="s">
        <v>348</v>
      </c>
      <c r="B5" s="11" t="s">
        <v>179</v>
      </c>
      <c r="C5" s="11"/>
      <c r="D5" s="12" t="s">
        <v>51</v>
      </c>
      <c r="E5" s="12"/>
      <c r="F5" s="2" t="str">
        <f t="shared" si="0"/>
        <v>conflict</v>
      </c>
      <c r="G5" s="13" t="s">
        <v>51</v>
      </c>
      <c r="H5" s="13"/>
      <c r="I5" s="14" t="str">
        <f t="shared" si="1"/>
        <v>Box Size Changed</v>
      </c>
      <c r="J5" s="14">
        <f t="shared" si="2"/>
        <v>0</v>
      </c>
      <c r="K5" s="2">
        <f t="shared" si="3"/>
        <v>0</v>
      </c>
      <c r="L5" s="15">
        <f t="shared" si="4"/>
        <v>2</v>
      </c>
    </row>
    <row r="6" spans="1:12" ht="15.75" customHeight="1">
      <c r="A6" s="9" t="s">
        <v>349</v>
      </c>
      <c r="B6" s="11" t="s">
        <v>20</v>
      </c>
      <c r="C6" s="11"/>
      <c r="D6" s="12" t="s">
        <v>20</v>
      </c>
      <c r="E6" s="12"/>
      <c r="F6" s="2" t="str">
        <f t="shared" si="0"/>
        <v>ok</v>
      </c>
      <c r="G6" s="13"/>
      <c r="H6" s="13"/>
      <c r="I6" s="14" t="str">
        <f t="shared" si="1"/>
        <v>OutOfScope: New Story</v>
      </c>
      <c r="J6" s="14">
        <f t="shared" si="2"/>
        <v>0</v>
      </c>
      <c r="K6" s="2">
        <f t="shared" si="3"/>
        <v>1</v>
      </c>
      <c r="L6" s="15">
        <f t="shared" si="4"/>
        <v>0</v>
      </c>
    </row>
    <row r="7" spans="1:12" ht="15.75" customHeight="1">
      <c r="A7" s="8" t="s">
        <v>350</v>
      </c>
      <c r="B7" s="11" t="s">
        <v>20</v>
      </c>
      <c r="C7" s="11"/>
      <c r="D7" s="12" t="s">
        <v>20</v>
      </c>
      <c r="E7" s="12"/>
      <c r="F7" s="2" t="str">
        <f t="shared" si="0"/>
        <v>ok</v>
      </c>
      <c r="G7" s="13"/>
      <c r="H7" s="13"/>
      <c r="I7" s="14" t="str">
        <f t="shared" si="1"/>
        <v>OutOfScope: New Story</v>
      </c>
      <c r="J7" s="14">
        <f t="shared" si="2"/>
        <v>0</v>
      </c>
      <c r="K7" s="2">
        <f t="shared" si="3"/>
        <v>1</v>
      </c>
      <c r="L7" s="15">
        <f t="shared" si="4"/>
        <v>0</v>
      </c>
    </row>
    <row r="8" spans="1:12" ht="15.75" customHeight="1">
      <c r="A8" s="9" t="s">
        <v>351</v>
      </c>
      <c r="B8" s="11" t="s">
        <v>75</v>
      </c>
      <c r="C8" s="11"/>
      <c r="D8" s="12" t="s">
        <v>75</v>
      </c>
      <c r="E8" s="12"/>
      <c r="F8" s="2" t="str">
        <f t="shared" si="0"/>
        <v>ok</v>
      </c>
      <c r="G8" s="13"/>
      <c r="H8" s="13"/>
      <c r="I8" s="14" t="str">
        <f t="shared" si="1"/>
        <v>Contents of Text Changed</v>
      </c>
      <c r="J8" s="14">
        <f t="shared" si="2"/>
        <v>0</v>
      </c>
      <c r="K8" s="2">
        <f t="shared" si="3"/>
        <v>1</v>
      </c>
      <c r="L8" s="15">
        <f t="shared" si="4"/>
        <v>0</v>
      </c>
    </row>
    <row r="9" spans="1:12" ht="15.75" customHeight="1">
      <c r="A9" s="9" t="s">
        <v>352</v>
      </c>
      <c r="B9" s="11" t="s">
        <v>23</v>
      </c>
      <c r="C9" s="11"/>
      <c r="D9" s="12" t="s">
        <v>130</v>
      </c>
      <c r="E9" s="12"/>
      <c r="F9" s="2" t="str">
        <f t="shared" si="0"/>
        <v>conflict</v>
      </c>
      <c r="G9" s="13" t="s">
        <v>160</v>
      </c>
      <c r="H9" s="13"/>
      <c r="I9" s="14" t="str">
        <f t="shared" si="1"/>
        <v>No or Few Visual Diffrences Detected</v>
      </c>
      <c r="J9" s="14">
        <f t="shared" si="2"/>
        <v>0</v>
      </c>
      <c r="K9" s="2">
        <f t="shared" si="3"/>
        <v>0</v>
      </c>
      <c r="L9" s="15">
        <f t="shared" si="4"/>
        <v>2</v>
      </c>
    </row>
    <row r="10" spans="1:12" ht="15.75" customHeight="1">
      <c r="A10" s="9" t="s">
        <v>353</v>
      </c>
      <c r="B10" s="11" t="s">
        <v>134</v>
      </c>
      <c r="C10" s="11"/>
      <c r="D10" s="12" t="s">
        <v>134</v>
      </c>
      <c r="E10" s="12"/>
      <c r="F10" s="2" t="str">
        <f t="shared" si="0"/>
        <v>ok</v>
      </c>
      <c r="G10" s="13"/>
      <c r="H10" s="13"/>
      <c r="I10" s="14" t="str">
        <f t="shared" si="1"/>
        <v>Border Color Changed</v>
      </c>
      <c r="J10" s="14">
        <f t="shared" si="2"/>
        <v>0</v>
      </c>
      <c r="K10" s="2">
        <f t="shared" si="3"/>
        <v>1</v>
      </c>
      <c r="L10" s="15">
        <f t="shared" si="4"/>
        <v>0</v>
      </c>
    </row>
    <row r="11" spans="1:12" ht="15.75" customHeight="1">
      <c r="A11" s="9" t="s">
        <v>354</v>
      </c>
      <c r="B11" s="11" t="s">
        <v>20</v>
      </c>
      <c r="C11" s="11"/>
      <c r="D11" s="12" t="s">
        <v>20</v>
      </c>
      <c r="E11" s="12"/>
      <c r="F11" s="2" t="str">
        <f t="shared" si="0"/>
        <v>ok</v>
      </c>
      <c r="G11" s="13"/>
      <c r="H11" s="13"/>
      <c r="I11" s="14" t="str">
        <f t="shared" si="1"/>
        <v>OutOfScope: New Story</v>
      </c>
      <c r="J11" s="14">
        <f t="shared" si="2"/>
        <v>0</v>
      </c>
      <c r="K11" s="2">
        <f t="shared" si="3"/>
        <v>1</v>
      </c>
      <c r="L11" s="15">
        <f t="shared" si="4"/>
        <v>0</v>
      </c>
    </row>
    <row r="12" spans="1:12" ht="15.75" customHeight="1">
      <c r="A12" s="8" t="s">
        <v>355</v>
      </c>
      <c r="B12" s="11" t="s">
        <v>27</v>
      </c>
      <c r="C12" s="11" t="s">
        <v>45</v>
      </c>
      <c r="D12" s="12" t="s">
        <v>45</v>
      </c>
      <c r="E12" s="12" t="s">
        <v>148</v>
      </c>
      <c r="F12" s="2" t="str">
        <f t="shared" si="0"/>
        <v>conflict</v>
      </c>
      <c r="G12" s="13" t="s">
        <v>27</v>
      </c>
      <c r="H12" s="13" t="s">
        <v>45</v>
      </c>
      <c r="I12" s="14" t="str">
        <f t="shared" si="1"/>
        <v>New Contents</v>
      </c>
      <c r="J12" s="14" t="str">
        <f t="shared" si="2"/>
        <v>Box Color Changed</v>
      </c>
      <c r="K12" s="2">
        <f t="shared" si="3"/>
        <v>1</v>
      </c>
      <c r="L12" s="15">
        <f t="shared" si="4"/>
        <v>2</v>
      </c>
    </row>
    <row r="13" spans="1:12" ht="15.75" customHeight="1">
      <c r="A13" s="9" t="s">
        <v>356</v>
      </c>
      <c r="B13" s="11" t="s">
        <v>14</v>
      </c>
      <c r="C13" s="11"/>
      <c r="D13" s="12" t="s">
        <v>14</v>
      </c>
      <c r="E13" s="12"/>
      <c r="F13" s="2" t="str">
        <f t="shared" si="0"/>
        <v>ok</v>
      </c>
      <c r="G13" s="13"/>
      <c r="H13" s="13"/>
      <c r="I13" s="14" t="str">
        <f t="shared" si="1"/>
        <v>Layout Shifted</v>
      </c>
      <c r="J13" s="14">
        <f t="shared" si="2"/>
        <v>0</v>
      </c>
      <c r="K13" s="2">
        <f t="shared" si="3"/>
        <v>1</v>
      </c>
      <c r="L13" s="15">
        <f t="shared" si="4"/>
        <v>0</v>
      </c>
    </row>
    <row r="14" spans="1:12" ht="15.75" customHeight="1">
      <c r="A14" s="9" t="s">
        <v>357</v>
      </c>
      <c r="B14" s="11" t="s">
        <v>5</v>
      </c>
      <c r="C14" s="11"/>
      <c r="D14" s="12" t="s">
        <v>5</v>
      </c>
      <c r="E14" s="12"/>
      <c r="F14" s="2" t="str">
        <f t="shared" si="0"/>
        <v>ok</v>
      </c>
      <c r="G14" s="13"/>
      <c r="H14" s="13"/>
      <c r="I14" s="14" t="str">
        <f t="shared" si="1"/>
        <v>OutOfScope: Duplicates</v>
      </c>
      <c r="J14" s="14">
        <f t="shared" si="2"/>
        <v>0</v>
      </c>
      <c r="K14" s="2">
        <f t="shared" si="3"/>
        <v>1</v>
      </c>
      <c r="L14" s="15">
        <f t="shared" si="4"/>
        <v>0</v>
      </c>
    </row>
    <row r="15" spans="1:12" ht="15.75" customHeight="1">
      <c r="A15" s="8" t="s">
        <v>358</v>
      </c>
      <c r="B15" s="11" t="s">
        <v>14</v>
      </c>
      <c r="C15" s="11"/>
      <c r="D15" s="12" t="s">
        <v>14</v>
      </c>
      <c r="E15" s="12"/>
      <c r="F15" s="2" t="str">
        <f t="shared" si="0"/>
        <v>ok</v>
      </c>
      <c r="G15" s="13"/>
      <c r="H15" s="13"/>
      <c r="I15" s="14" t="str">
        <f t="shared" si="1"/>
        <v>Layout Shifted</v>
      </c>
      <c r="J15" s="14">
        <f t="shared" si="2"/>
        <v>0</v>
      </c>
      <c r="K15" s="2">
        <f t="shared" si="3"/>
        <v>1</v>
      </c>
      <c r="L15" s="15">
        <f t="shared" si="4"/>
        <v>0</v>
      </c>
    </row>
    <row r="16" spans="1:12" ht="15.75" customHeight="1">
      <c r="A16" s="8" t="s">
        <v>359</v>
      </c>
      <c r="B16" s="11" t="s">
        <v>14</v>
      </c>
      <c r="C16" s="11"/>
      <c r="D16" s="12" t="s">
        <v>14</v>
      </c>
      <c r="E16" s="12"/>
      <c r="F16" s="2" t="str">
        <f t="shared" si="0"/>
        <v>ok</v>
      </c>
      <c r="G16" s="13"/>
      <c r="H16" s="13"/>
      <c r="I16" s="14" t="str">
        <f t="shared" si="1"/>
        <v>Layout Shifted</v>
      </c>
      <c r="J16" s="14">
        <f t="shared" si="2"/>
        <v>0</v>
      </c>
      <c r="K16" s="2">
        <f t="shared" si="3"/>
        <v>1</v>
      </c>
      <c r="L16" s="15">
        <f t="shared" si="4"/>
        <v>0</v>
      </c>
    </row>
    <row r="17" spans="1:12" ht="15.75" customHeight="1">
      <c r="A17" s="9" t="s">
        <v>360</v>
      </c>
      <c r="B17" s="11" t="s">
        <v>20</v>
      </c>
      <c r="C17" s="11"/>
      <c r="D17" s="12" t="s">
        <v>20</v>
      </c>
      <c r="E17" s="12"/>
      <c r="F17" s="2" t="str">
        <f t="shared" si="0"/>
        <v>ok</v>
      </c>
      <c r="G17" s="13"/>
      <c r="H17" s="13"/>
      <c r="I17" s="14" t="str">
        <f t="shared" si="1"/>
        <v>OutOfScope: New Story</v>
      </c>
      <c r="J17" s="14">
        <f t="shared" si="2"/>
        <v>0</v>
      </c>
      <c r="K17" s="2">
        <f t="shared" si="3"/>
        <v>1</v>
      </c>
      <c r="L17" s="15">
        <f t="shared" si="4"/>
        <v>0</v>
      </c>
    </row>
    <row r="18" spans="1:12" ht="15.75" customHeight="1">
      <c r="A18" s="9" t="s">
        <v>361</v>
      </c>
      <c r="B18" s="11" t="s">
        <v>20</v>
      </c>
      <c r="C18" s="11"/>
      <c r="D18" s="12" t="s">
        <v>20</v>
      </c>
      <c r="E18" s="12"/>
      <c r="F18" s="2" t="str">
        <f t="shared" si="0"/>
        <v>ok</v>
      </c>
      <c r="G18" s="13"/>
      <c r="H18" s="13"/>
      <c r="I18" s="14" t="str">
        <f t="shared" si="1"/>
        <v>OutOfScope: New Story</v>
      </c>
      <c r="J18" s="14">
        <f t="shared" si="2"/>
        <v>0</v>
      </c>
      <c r="K18" s="2">
        <f t="shared" si="3"/>
        <v>1</v>
      </c>
      <c r="L18" s="15">
        <f t="shared" si="4"/>
        <v>0</v>
      </c>
    </row>
    <row r="19" spans="1:12" ht="15.75" customHeight="1">
      <c r="A19" s="8" t="s">
        <v>362</v>
      </c>
      <c r="B19" s="11" t="s">
        <v>20</v>
      </c>
      <c r="C19" s="11"/>
      <c r="D19" s="12" t="s">
        <v>20</v>
      </c>
      <c r="E19" s="12"/>
      <c r="F19" s="2" t="str">
        <f t="shared" si="0"/>
        <v>ok</v>
      </c>
      <c r="G19" s="13"/>
      <c r="H19" s="13"/>
      <c r="I19" s="14" t="str">
        <f t="shared" si="1"/>
        <v>OutOfScope: New Story</v>
      </c>
      <c r="J19" s="14">
        <f t="shared" si="2"/>
        <v>0</v>
      </c>
      <c r="K19" s="2">
        <f t="shared" si="3"/>
        <v>1</v>
      </c>
      <c r="L19" s="15">
        <f t="shared" si="4"/>
        <v>0</v>
      </c>
    </row>
    <row r="20" spans="1:12" ht="15.75" customHeight="1">
      <c r="A20" s="8" t="s">
        <v>363</v>
      </c>
      <c r="B20" s="11" t="s">
        <v>20</v>
      </c>
      <c r="C20" s="11"/>
      <c r="D20" s="12" t="s">
        <v>20</v>
      </c>
      <c r="E20" s="12"/>
      <c r="F20" s="2" t="str">
        <f t="shared" si="0"/>
        <v>ok</v>
      </c>
      <c r="G20" s="13"/>
      <c r="H20" s="13"/>
      <c r="I20" s="14" t="str">
        <f t="shared" si="1"/>
        <v>OutOfScope: New Story</v>
      </c>
      <c r="J20" s="14">
        <f t="shared" si="2"/>
        <v>0</v>
      </c>
      <c r="K20" s="2">
        <f t="shared" si="3"/>
        <v>1</v>
      </c>
      <c r="L20" s="15">
        <f t="shared" si="4"/>
        <v>0</v>
      </c>
    </row>
    <row r="21" spans="1:12" ht="15.75" customHeight="1">
      <c r="A21" s="8" t="s">
        <v>364</v>
      </c>
      <c r="B21" s="11" t="s">
        <v>26</v>
      </c>
      <c r="C21" s="11"/>
      <c r="D21" s="12" t="s">
        <v>91</v>
      </c>
      <c r="E21" s="12"/>
      <c r="F21" s="2" t="str">
        <f t="shared" si="0"/>
        <v>conflict</v>
      </c>
      <c r="G21" s="13" t="s">
        <v>91</v>
      </c>
      <c r="H21" s="13"/>
      <c r="I21" s="14" t="str">
        <f t="shared" si="1"/>
        <v>OutOfScope: Chromatic Error</v>
      </c>
      <c r="J21" s="14">
        <f t="shared" si="2"/>
        <v>0</v>
      </c>
      <c r="K21" s="2">
        <f t="shared" si="3"/>
        <v>0</v>
      </c>
      <c r="L21" s="15">
        <f t="shared" si="4"/>
        <v>2</v>
      </c>
    </row>
    <row r="22" spans="1:12" ht="15.75" customHeight="1">
      <c r="A22" s="8" t="s">
        <v>365</v>
      </c>
      <c r="B22" s="11" t="s">
        <v>20</v>
      </c>
      <c r="C22" s="11"/>
      <c r="D22" s="12" t="s">
        <v>20</v>
      </c>
      <c r="E22" s="12"/>
      <c r="F22" s="2" t="str">
        <f t="shared" si="0"/>
        <v>ok</v>
      </c>
      <c r="G22" s="13"/>
      <c r="H22" s="13"/>
      <c r="I22" s="14" t="str">
        <f t="shared" si="1"/>
        <v>OutOfScope: New Story</v>
      </c>
      <c r="J22" s="14">
        <f t="shared" si="2"/>
        <v>0</v>
      </c>
      <c r="K22" s="2">
        <f t="shared" si="3"/>
        <v>1</v>
      </c>
      <c r="L22" s="15">
        <f t="shared" si="4"/>
        <v>0</v>
      </c>
    </row>
    <row r="23" spans="1:12" ht="15.75" customHeight="1">
      <c r="A23" s="9" t="s">
        <v>366</v>
      </c>
      <c r="B23" s="11" t="s">
        <v>31</v>
      </c>
      <c r="C23" s="11"/>
      <c r="D23" s="12" t="s">
        <v>31</v>
      </c>
      <c r="E23" s="12"/>
      <c r="F23" s="2" t="str">
        <f t="shared" si="0"/>
        <v>ok</v>
      </c>
      <c r="G23" s="13"/>
      <c r="H23" s="13"/>
      <c r="I23" s="14" t="str">
        <f t="shared" si="1"/>
        <v>Undefined/Wrong State is Shown</v>
      </c>
      <c r="J23" s="14">
        <f t="shared" si="2"/>
        <v>0</v>
      </c>
      <c r="K23" s="2">
        <f t="shared" si="3"/>
        <v>1</v>
      </c>
      <c r="L23" s="15">
        <f t="shared" si="4"/>
        <v>0</v>
      </c>
    </row>
    <row r="24" spans="1:12" ht="15.75" customHeight="1">
      <c r="A24" s="9" t="s">
        <v>367</v>
      </c>
      <c r="B24" s="11" t="s">
        <v>14</v>
      </c>
      <c r="C24" s="11"/>
      <c r="D24" s="12" t="s">
        <v>14</v>
      </c>
      <c r="E24" s="12"/>
      <c r="F24" s="2" t="str">
        <f t="shared" si="0"/>
        <v>ok</v>
      </c>
      <c r="G24" s="13"/>
      <c r="H24" s="13"/>
      <c r="I24" s="14" t="str">
        <f t="shared" si="1"/>
        <v>Layout Shifted</v>
      </c>
      <c r="J24" s="14">
        <f t="shared" si="2"/>
        <v>0</v>
      </c>
      <c r="K24" s="2">
        <f t="shared" si="3"/>
        <v>1</v>
      </c>
      <c r="L24" s="15">
        <f t="shared" si="4"/>
        <v>0</v>
      </c>
    </row>
    <row r="25" spans="1:12" ht="15.75" customHeight="1">
      <c r="A25" s="9" t="s">
        <v>368</v>
      </c>
      <c r="B25" s="11" t="s">
        <v>53</v>
      </c>
      <c r="C25" s="11"/>
      <c r="D25" s="12" t="s">
        <v>53</v>
      </c>
      <c r="E25" s="12"/>
      <c r="F25" s="2" t="str">
        <f t="shared" si="0"/>
        <v>ok</v>
      </c>
      <c r="G25" s="13"/>
      <c r="H25" s="13"/>
      <c r="I25" s="14" t="str">
        <f t="shared" si="1"/>
        <v>OutOfScope: Not VRT Discussion</v>
      </c>
      <c r="J25" s="14">
        <f t="shared" si="2"/>
        <v>0</v>
      </c>
      <c r="K25" s="2">
        <f t="shared" si="3"/>
        <v>1</v>
      </c>
      <c r="L25" s="15">
        <f t="shared" si="4"/>
        <v>0</v>
      </c>
    </row>
    <row r="26" spans="1:12" ht="15.75" customHeight="1">
      <c r="A26" s="8" t="s">
        <v>369</v>
      </c>
      <c r="B26" s="11" t="s">
        <v>20</v>
      </c>
      <c r="C26" s="11"/>
      <c r="D26" s="12" t="s">
        <v>20</v>
      </c>
      <c r="E26" s="12"/>
      <c r="F26" s="2" t="str">
        <f t="shared" si="0"/>
        <v>ok</v>
      </c>
      <c r="G26" s="13"/>
      <c r="H26" s="13"/>
      <c r="I26" s="14" t="str">
        <f t="shared" si="1"/>
        <v>OutOfScope: New Story</v>
      </c>
      <c r="J26" s="14">
        <f t="shared" si="2"/>
        <v>0</v>
      </c>
      <c r="K26" s="2">
        <f t="shared" si="3"/>
        <v>1</v>
      </c>
      <c r="L26" s="15">
        <f t="shared" si="4"/>
        <v>0</v>
      </c>
    </row>
    <row r="27" spans="1:12" ht="15.75" customHeight="1">
      <c r="A27" s="8" t="s">
        <v>370</v>
      </c>
      <c r="B27" s="11" t="s">
        <v>14</v>
      </c>
      <c r="C27" s="11" t="s">
        <v>27</v>
      </c>
      <c r="D27" s="12" t="s">
        <v>27</v>
      </c>
      <c r="E27" s="12" t="s">
        <v>14</v>
      </c>
      <c r="F27" s="2" t="str">
        <f t="shared" si="0"/>
        <v>ok</v>
      </c>
      <c r="G27" s="13"/>
      <c r="H27" s="13"/>
      <c r="I27" s="14" t="str">
        <f t="shared" si="1"/>
        <v>Layout Shifted</v>
      </c>
      <c r="J27" s="14" t="str">
        <f t="shared" si="2"/>
        <v>New Contents</v>
      </c>
      <c r="K27" s="2">
        <f t="shared" si="3"/>
        <v>2</v>
      </c>
      <c r="L27" s="15">
        <f t="shared" si="4"/>
        <v>0</v>
      </c>
    </row>
    <row r="28" spans="1:12" ht="15.75" customHeight="1">
      <c r="A28" s="8" t="s">
        <v>371</v>
      </c>
      <c r="B28" s="11" t="s">
        <v>14</v>
      </c>
      <c r="C28" s="11"/>
      <c r="D28" s="12" t="s">
        <v>14</v>
      </c>
      <c r="E28" s="12"/>
      <c r="F28" s="2" t="str">
        <f t="shared" si="0"/>
        <v>ok</v>
      </c>
      <c r="G28" s="13"/>
      <c r="H28" s="13"/>
      <c r="I28" s="14" t="str">
        <f t="shared" si="1"/>
        <v>Layout Shifted</v>
      </c>
      <c r="J28" s="14">
        <f t="shared" si="2"/>
        <v>0</v>
      </c>
      <c r="K28" s="2">
        <f t="shared" si="3"/>
        <v>1</v>
      </c>
      <c r="L28" s="15">
        <f t="shared" si="4"/>
        <v>0</v>
      </c>
    </row>
    <row r="29" spans="1:12" ht="15.75" customHeight="1">
      <c r="A29" s="8" t="s">
        <v>372</v>
      </c>
      <c r="B29" s="11" t="s">
        <v>45</v>
      </c>
      <c r="C29" s="11"/>
      <c r="D29" s="12" t="s">
        <v>45</v>
      </c>
      <c r="E29" s="12"/>
      <c r="F29" s="2" t="str">
        <f t="shared" si="0"/>
        <v>ok</v>
      </c>
      <c r="G29" s="13"/>
      <c r="H29" s="13"/>
      <c r="I29" s="14" t="str">
        <f t="shared" si="1"/>
        <v>Box Color Changed</v>
      </c>
      <c r="J29" s="14">
        <f t="shared" si="2"/>
        <v>0</v>
      </c>
      <c r="K29" s="2">
        <f t="shared" si="3"/>
        <v>1</v>
      </c>
      <c r="L29" s="15">
        <f t="shared" si="4"/>
        <v>0</v>
      </c>
    </row>
    <row r="30" spans="1:12" ht="15.75" customHeight="1">
      <c r="A30" s="9" t="s">
        <v>373</v>
      </c>
      <c r="B30" s="11" t="s">
        <v>134</v>
      </c>
      <c r="C30" s="11"/>
      <c r="D30" s="12" t="s">
        <v>134</v>
      </c>
      <c r="E30" s="12"/>
      <c r="F30" s="2" t="str">
        <f t="shared" si="0"/>
        <v>ok</v>
      </c>
      <c r="G30" s="13"/>
      <c r="H30" s="13"/>
      <c r="I30" s="14" t="str">
        <f t="shared" si="1"/>
        <v>Border Color Changed</v>
      </c>
      <c r="J30" s="14">
        <f t="shared" si="2"/>
        <v>0</v>
      </c>
      <c r="K30" s="2">
        <f t="shared" si="3"/>
        <v>1</v>
      </c>
      <c r="L30" s="15">
        <f t="shared" si="4"/>
        <v>0</v>
      </c>
    </row>
    <row r="31" spans="1:12" ht="15.75" customHeight="1">
      <c r="A31" s="9" t="s">
        <v>374</v>
      </c>
      <c r="B31" s="11" t="s">
        <v>91</v>
      </c>
      <c r="C31" s="11"/>
      <c r="D31" s="12" t="s">
        <v>91</v>
      </c>
      <c r="E31" s="12"/>
      <c r="F31" s="2" t="str">
        <f t="shared" si="0"/>
        <v>ok</v>
      </c>
      <c r="G31" s="13"/>
      <c r="H31" s="13"/>
      <c r="I31" s="14" t="str">
        <f t="shared" si="1"/>
        <v>OutOfScope: Chromatic Error</v>
      </c>
      <c r="J31" s="14">
        <f t="shared" si="2"/>
        <v>0</v>
      </c>
      <c r="K31" s="2">
        <f t="shared" si="3"/>
        <v>1</v>
      </c>
      <c r="L31" s="15">
        <f t="shared" si="4"/>
        <v>0</v>
      </c>
    </row>
    <row r="32" spans="1:12" ht="15.75" customHeight="1">
      <c r="A32" s="9" t="s">
        <v>375</v>
      </c>
      <c r="B32" s="11" t="s">
        <v>27</v>
      </c>
      <c r="C32" s="11"/>
      <c r="D32" s="12" t="s">
        <v>14</v>
      </c>
      <c r="E32" s="12"/>
      <c r="F32" s="2" t="str">
        <f t="shared" si="0"/>
        <v>conflict</v>
      </c>
      <c r="G32" s="13" t="s">
        <v>14</v>
      </c>
      <c r="H32" s="13"/>
      <c r="I32" s="14" t="str">
        <f t="shared" si="1"/>
        <v>Layout Shifted</v>
      </c>
      <c r="J32" s="14">
        <f t="shared" si="2"/>
        <v>0</v>
      </c>
      <c r="K32" s="2">
        <f t="shared" si="3"/>
        <v>0</v>
      </c>
      <c r="L32" s="15">
        <f t="shared" si="4"/>
        <v>2</v>
      </c>
    </row>
    <row r="33" spans="1:12" ht="15.75" customHeight="1">
      <c r="A33" s="9" t="s">
        <v>376</v>
      </c>
      <c r="B33" s="11" t="s">
        <v>14</v>
      </c>
      <c r="C33" s="11"/>
      <c r="D33" s="12" t="s">
        <v>5</v>
      </c>
      <c r="E33" s="12"/>
      <c r="F33" s="2" t="str">
        <f t="shared" si="0"/>
        <v>conflict</v>
      </c>
      <c r="G33" s="13" t="s">
        <v>23</v>
      </c>
      <c r="H33" s="13"/>
      <c r="I33" s="14" t="str">
        <f t="shared" si="1"/>
        <v>Layout Changed</v>
      </c>
      <c r="J33" s="14">
        <f t="shared" si="2"/>
        <v>0</v>
      </c>
      <c r="K33" s="2">
        <f t="shared" si="3"/>
        <v>0</v>
      </c>
      <c r="L33" s="15">
        <f t="shared" si="4"/>
        <v>2</v>
      </c>
    </row>
    <row r="34" spans="1:12" ht="15.75" customHeight="1">
      <c r="A34" s="9" t="s">
        <v>377</v>
      </c>
      <c r="B34" s="11" t="s">
        <v>20</v>
      </c>
      <c r="C34" s="11"/>
      <c r="D34" s="12" t="s">
        <v>20</v>
      </c>
      <c r="E34" s="12"/>
      <c r="F34" s="2" t="str">
        <f t="shared" si="0"/>
        <v>ok</v>
      </c>
      <c r="G34" s="13"/>
      <c r="H34" s="13"/>
      <c r="I34" s="14" t="str">
        <f t="shared" si="1"/>
        <v>OutOfScope: New Story</v>
      </c>
      <c r="J34" s="14">
        <f t="shared" si="2"/>
        <v>0</v>
      </c>
      <c r="K34" s="2">
        <f t="shared" si="3"/>
        <v>1</v>
      </c>
      <c r="L34" s="15">
        <f t="shared" si="4"/>
        <v>0</v>
      </c>
    </row>
    <row r="35" spans="1:12" ht="15.75" customHeight="1">
      <c r="A35" s="8" t="s">
        <v>378</v>
      </c>
      <c r="B35" s="11" t="s">
        <v>20</v>
      </c>
      <c r="C35" s="11"/>
      <c r="D35" s="12" t="s">
        <v>20</v>
      </c>
      <c r="E35" s="12"/>
      <c r="F35" s="2" t="str">
        <f t="shared" si="0"/>
        <v>ok</v>
      </c>
      <c r="G35" s="13"/>
      <c r="H35" s="13"/>
      <c r="I35" s="14" t="str">
        <f t="shared" si="1"/>
        <v>OutOfScope: New Story</v>
      </c>
      <c r="J35" s="14">
        <f t="shared" si="2"/>
        <v>0</v>
      </c>
      <c r="K35" s="2">
        <f t="shared" si="3"/>
        <v>1</v>
      </c>
      <c r="L35" s="15">
        <f t="shared" si="4"/>
        <v>0</v>
      </c>
    </row>
    <row r="36" spans="1:12" ht="15.75" customHeight="1">
      <c r="K36" s="2">
        <v>1</v>
      </c>
      <c r="L36" s="2">
        <v>0</v>
      </c>
    </row>
    <row r="37" spans="1:12" ht="15.75" customHeight="1">
      <c r="K37" s="2">
        <v>1</v>
      </c>
      <c r="L37" s="2">
        <v>0</v>
      </c>
    </row>
    <row r="38" spans="1:12" ht="15.75" customHeight="1">
      <c r="K38" s="2">
        <v>1</v>
      </c>
      <c r="L38" s="2">
        <v>0</v>
      </c>
    </row>
    <row r="39" spans="1:12" ht="15.75" customHeight="1">
      <c r="K39" s="2">
        <v>1</v>
      </c>
      <c r="L39" s="2">
        <v>0</v>
      </c>
    </row>
    <row r="40" spans="1:12" ht="15.75" customHeight="1">
      <c r="K40" s="2">
        <v>1</v>
      </c>
      <c r="L40" s="2">
        <v>0</v>
      </c>
    </row>
    <row r="41" spans="1:12" ht="15.75" customHeight="1">
      <c r="C41" s="8" t="s">
        <v>460</v>
      </c>
      <c r="E41" s="2" t="str">
        <f t="shared" ref="E41:E76" si="5">IF(COUNTIF($F$41:$F$77, C41) = 0, "no", IF(COUNTIF($F$41:$F$77, C41) = 1, "OK", "duplicate"))</f>
        <v>no</v>
      </c>
      <c r="F41" s="5" t="s">
        <v>345</v>
      </c>
      <c r="G41" s="5" t="s">
        <v>345</v>
      </c>
      <c r="H41" s="2" t="str">
        <f t="shared" ref="H41:H74" si="6">IF(COUNTIF($A$1:$A$35, F41) = 0, "no", IF(COUNTIF($A$1:$A$35, F41) = 1, "OK", "duplicate"))</f>
        <v>OK</v>
      </c>
      <c r="K41" s="2">
        <v>1</v>
      </c>
      <c r="L41" s="2">
        <v>0</v>
      </c>
    </row>
    <row r="42" spans="1:12" ht="15.75" customHeight="1">
      <c r="C42" s="9" t="s">
        <v>345</v>
      </c>
      <c r="E42" s="2" t="str">
        <f t="shared" si="5"/>
        <v>OK</v>
      </c>
      <c r="F42" s="5" t="s">
        <v>346</v>
      </c>
      <c r="G42" s="5" t="s">
        <v>346</v>
      </c>
      <c r="H42" s="2" t="str">
        <f t="shared" si="6"/>
        <v>OK</v>
      </c>
      <c r="K42" s="2">
        <v>1</v>
      </c>
      <c r="L42" s="2">
        <v>0</v>
      </c>
    </row>
    <row r="43" spans="1:12" ht="15.75" customHeight="1">
      <c r="C43" s="8" t="s">
        <v>461</v>
      </c>
      <c r="E43" s="2" t="str">
        <f t="shared" si="5"/>
        <v>no</v>
      </c>
      <c r="F43" s="5" t="s">
        <v>347</v>
      </c>
      <c r="G43" s="5" t="s">
        <v>347</v>
      </c>
      <c r="H43" s="2" t="str">
        <f t="shared" si="6"/>
        <v>OK</v>
      </c>
      <c r="K43" s="2">
        <v>1</v>
      </c>
      <c r="L43" s="2">
        <v>0</v>
      </c>
    </row>
    <row r="44" spans="1:12" ht="15.75" customHeight="1">
      <c r="C44" s="9" t="s">
        <v>346</v>
      </c>
      <c r="E44" s="2" t="str">
        <f t="shared" si="5"/>
        <v>OK</v>
      </c>
      <c r="F44" s="5" t="s">
        <v>348</v>
      </c>
      <c r="G44" s="5" t="s">
        <v>348</v>
      </c>
      <c r="H44" s="2" t="str">
        <f t="shared" si="6"/>
        <v>OK</v>
      </c>
      <c r="K44" s="2">
        <v>1</v>
      </c>
      <c r="L44" s="2">
        <v>0</v>
      </c>
    </row>
    <row r="45" spans="1:12" ht="15.75" customHeight="1">
      <c r="C45" s="9" t="s">
        <v>347</v>
      </c>
      <c r="E45" s="2" t="str">
        <f t="shared" si="5"/>
        <v>OK</v>
      </c>
      <c r="F45" s="5" t="s">
        <v>349</v>
      </c>
      <c r="G45" s="5" t="s">
        <v>349</v>
      </c>
      <c r="H45" s="2" t="str">
        <f t="shared" si="6"/>
        <v>OK</v>
      </c>
      <c r="K45" s="2">
        <v>1</v>
      </c>
      <c r="L45" s="2">
        <v>0</v>
      </c>
    </row>
    <row r="46" spans="1:12" ht="15.75" customHeight="1">
      <c r="C46" s="8" t="s">
        <v>348</v>
      </c>
      <c r="E46" s="2" t="str">
        <f t="shared" si="5"/>
        <v>OK</v>
      </c>
      <c r="F46" s="5" t="s">
        <v>350</v>
      </c>
      <c r="G46" s="5" t="s">
        <v>350</v>
      </c>
      <c r="H46" s="2" t="str">
        <f t="shared" si="6"/>
        <v>OK</v>
      </c>
      <c r="K46" s="2">
        <v>1</v>
      </c>
      <c r="L46" s="2">
        <v>0</v>
      </c>
    </row>
    <row r="47" spans="1:12" ht="15.75" customHeight="1">
      <c r="C47" s="9" t="s">
        <v>349</v>
      </c>
      <c r="E47" s="2" t="str">
        <f t="shared" si="5"/>
        <v>OK</v>
      </c>
      <c r="F47" s="5" t="s">
        <v>351</v>
      </c>
      <c r="G47" s="5" t="s">
        <v>351</v>
      </c>
      <c r="H47" s="2" t="str">
        <f t="shared" si="6"/>
        <v>OK</v>
      </c>
      <c r="K47" s="2">
        <v>2</v>
      </c>
      <c r="L47" s="2">
        <v>0</v>
      </c>
    </row>
    <row r="48" spans="1:12" ht="15.75" customHeight="1">
      <c r="C48" s="8" t="s">
        <v>350</v>
      </c>
      <c r="E48" s="2" t="str">
        <f t="shared" si="5"/>
        <v>OK</v>
      </c>
      <c r="F48" s="3" t="s">
        <v>352</v>
      </c>
      <c r="G48" s="3" t="s">
        <v>352</v>
      </c>
      <c r="H48" s="2" t="str">
        <f t="shared" si="6"/>
        <v>OK</v>
      </c>
      <c r="K48" s="2">
        <v>1</v>
      </c>
      <c r="L48" s="2">
        <v>0</v>
      </c>
    </row>
    <row r="49" spans="3:12" ht="15.75" customHeight="1">
      <c r="C49" s="9" t="s">
        <v>351</v>
      </c>
      <c r="E49" s="2" t="str">
        <f t="shared" si="5"/>
        <v>OK</v>
      </c>
      <c r="F49" s="5" t="s">
        <v>353</v>
      </c>
      <c r="G49" s="5" t="s">
        <v>353</v>
      </c>
      <c r="H49" s="2" t="str">
        <f t="shared" si="6"/>
        <v>OK</v>
      </c>
      <c r="K49" s="2">
        <v>0</v>
      </c>
      <c r="L49" s="2">
        <v>2</v>
      </c>
    </row>
    <row r="50" spans="3:12" ht="15.75" customHeight="1">
      <c r="C50" s="9" t="s">
        <v>352</v>
      </c>
      <c r="E50" s="2" t="str">
        <f t="shared" si="5"/>
        <v>OK</v>
      </c>
      <c r="F50" s="5" t="s">
        <v>354</v>
      </c>
      <c r="G50" s="5" t="s">
        <v>354</v>
      </c>
      <c r="H50" s="2" t="str">
        <f t="shared" si="6"/>
        <v>OK</v>
      </c>
      <c r="K50" s="2">
        <v>1</v>
      </c>
      <c r="L50" s="2">
        <v>0</v>
      </c>
    </row>
    <row r="51" spans="3:12" ht="15.75" customHeight="1">
      <c r="C51" s="9" t="s">
        <v>353</v>
      </c>
      <c r="E51" s="2" t="str">
        <f t="shared" si="5"/>
        <v>OK</v>
      </c>
      <c r="F51" s="5" t="s">
        <v>355</v>
      </c>
      <c r="G51" s="5" t="s">
        <v>355</v>
      </c>
      <c r="H51" s="2" t="str">
        <f t="shared" si="6"/>
        <v>OK</v>
      </c>
      <c r="K51" s="2">
        <v>1</v>
      </c>
      <c r="L51" s="2">
        <v>0</v>
      </c>
    </row>
    <row r="52" spans="3:12" ht="15.75" customHeight="1">
      <c r="C52" s="9" t="s">
        <v>354</v>
      </c>
      <c r="E52" s="2" t="str">
        <f t="shared" si="5"/>
        <v>OK</v>
      </c>
      <c r="F52" s="5" t="s">
        <v>356</v>
      </c>
      <c r="G52" s="5" t="s">
        <v>356</v>
      </c>
      <c r="H52" s="2" t="str">
        <f t="shared" si="6"/>
        <v>OK</v>
      </c>
      <c r="K52" s="2">
        <v>1</v>
      </c>
      <c r="L52" s="2">
        <v>0</v>
      </c>
    </row>
    <row r="53" spans="3:12" ht="15.75" customHeight="1">
      <c r="C53" s="8" t="s">
        <v>355</v>
      </c>
      <c r="E53" s="2" t="str">
        <f t="shared" si="5"/>
        <v>OK</v>
      </c>
      <c r="F53" s="5" t="s">
        <v>357</v>
      </c>
      <c r="G53" s="5" t="s">
        <v>357</v>
      </c>
      <c r="H53" s="2" t="str">
        <f t="shared" si="6"/>
        <v>OK</v>
      </c>
      <c r="K53" s="2">
        <v>1</v>
      </c>
      <c r="L53" s="2">
        <v>0</v>
      </c>
    </row>
    <row r="54" spans="3:12" ht="15.75" customHeight="1">
      <c r="C54" s="9" t="s">
        <v>356</v>
      </c>
      <c r="E54" s="2" t="str">
        <f t="shared" si="5"/>
        <v>OK</v>
      </c>
      <c r="F54" s="5" t="s">
        <v>358</v>
      </c>
      <c r="G54" s="5" t="s">
        <v>358</v>
      </c>
      <c r="H54" s="2" t="str">
        <f t="shared" si="6"/>
        <v>OK</v>
      </c>
      <c r="K54" s="2">
        <v>1</v>
      </c>
      <c r="L54" s="2">
        <v>0</v>
      </c>
    </row>
    <row r="55" spans="3:12" ht="15.75" customHeight="1">
      <c r="C55" s="9" t="s">
        <v>357</v>
      </c>
      <c r="E55" s="2" t="str">
        <f t="shared" si="5"/>
        <v>OK</v>
      </c>
      <c r="F55" s="5" t="s">
        <v>359</v>
      </c>
      <c r="G55" s="5" t="s">
        <v>359</v>
      </c>
      <c r="H55" s="2" t="str">
        <f t="shared" si="6"/>
        <v>OK</v>
      </c>
      <c r="K55" s="2">
        <v>1</v>
      </c>
      <c r="L55" s="2">
        <v>0</v>
      </c>
    </row>
    <row r="56" spans="3:12" ht="15.75" customHeight="1">
      <c r="C56" s="8" t="s">
        <v>358</v>
      </c>
      <c r="E56" s="2" t="str">
        <f t="shared" si="5"/>
        <v>OK</v>
      </c>
      <c r="F56" s="5" t="s">
        <v>360</v>
      </c>
      <c r="G56" s="5" t="s">
        <v>360</v>
      </c>
      <c r="H56" s="2" t="str">
        <f t="shared" si="6"/>
        <v>OK</v>
      </c>
      <c r="K56" s="2">
        <v>1</v>
      </c>
      <c r="L56" s="2">
        <v>0</v>
      </c>
    </row>
    <row r="57" spans="3:12" ht="15.75" customHeight="1">
      <c r="C57" s="8" t="s">
        <v>359</v>
      </c>
      <c r="E57" s="2" t="str">
        <f t="shared" si="5"/>
        <v>OK</v>
      </c>
      <c r="F57" s="5" t="s">
        <v>361</v>
      </c>
      <c r="G57" s="5" t="s">
        <v>361</v>
      </c>
      <c r="H57" s="2" t="str">
        <f t="shared" si="6"/>
        <v>OK</v>
      </c>
      <c r="K57" s="2">
        <v>1</v>
      </c>
      <c r="L57" s="2">
        <v>0</v>
      </c>
    </row>
    <row r="58" spans="3:12" ht="13">
      <c r="C58" s="9" t="s">
        <v>360</v>
      </c>
      <c r="E58" s="2" t="str">
        <f t="shared" si="5"/>
        <v>OK</v>
      </c>
      <c r="F58" s="5" t="s">
        <v>362</v>
      </c>
      <c r="G58" s="5" t="s">
        <v>362</v>
      </c>
      <c r="H58" s="2" t="str">
        <f t="shared" si="6"/>
        <v>OK</v>
      </c>
      <c r="K58" s="2">
        <v>1</v>
      </c>
      <c r="L58" s="2">
        <v>0</v>
      </c>
    </row>
    <row r="59" spans="3:12" ht="13">
      <c r="C59" s="9" t="s">
        <v>361</v>
      </c>
      <c r="E59" s="2" t="str">
        <f t="shared" si="5"/>
        <v>OK</v>
      </c>
      <c r="F59" s="5" t="s">
        <v>363</v>
      </c>
      <c r="G59" s="5" t="s">
        <v>363</v>
      </c>
      <c r="H59" s="2" t="str">
        <f t="shared" si="6"/>
        <v>OK</v>
      </c>
      <c r="K59" s="2">
        <v>1</v>
      </c>
      <c r="L59" s="2">
        <v>0</v>
      </c>
    </row>
    <row r="60" spans="3:12" ht="13">
      <c r="C60" s="8" t="s">
        <v>362</v>
      </c>
      <c r="E60" s="2" t="str">
        <f t="shared" si="5"/>
        <v>OK</v>
      </c>
      <c r="F60" s="5" t="s">
        <v>364</v>
      </c>
      <c r="G60" s="5" t="s">
        <v>364</v>
      </c>
      <c r="H60" s="2" t="str">
        <f t="shared" si="6"/>
        <v>OK</v>
      </c>
      <c r="K60" s="2">
        <v>1</v>
      </c>
      <c r="L60" s="2">
        <v>0</v>
      </c>
    </row>
    <row r="61" spans="3:12" ht="13">
      <c r="C61" s="8" t="s">
        <v>363</v>
      </c>
      <c r="E61" s="2" t="str">
        <f t="shared" si="5"/>
        <v>OK</v>
      </c>
      <c r="F61" s="5" t="s">
        <v>365</v>
      </c>
      <c r="G61" s="5" t="s">
        <v>365</v>
      </c>
      <c r="H61" s="2" t="str">
        <f t="shared" si="6"/>
        <v>OK</v>
      </c>
      <c r="K61" s="2">
        <v>1</v>
      </c>
      <c r="L61" s="2">
        <v>0</v>
      </c>
    </row>
    <row r="62" spans="3:12" ht="13">
      <c r="C62" s="8" t="s">
        <v>364</v>
      </c>
      <c r="E62" s="2" t="str">
        <f t="shared" si="5"/>
        <v>OK</v>
      </c>
      <c r="F62" s="5" t="s">
        <v>366</v>
      </c>
      <c r="G62" s="5" t="s">
        <v>366</v>
      </c>
      <c r="H62" s="2" t="str">
        <f t="shared" si="6"/>
        <v>OK</v>
      </c>
      <c r="K62" s="2">
        <v>1</v>
      </c>
      <c r="L62" s="2">
        <v>0</v>
      </c>
    </row>
    <row r="63" spans="3:12" ht="13">
      <c r="C63" s="8" t="s">
        <v>365</v>
      </c>
      <c r="E63" s="2" t="str">
        <f t="shared" si="5"/>
        <v>OK</v>
      </c>
      <c r="F63" s="5" t="s">
        <v>367</v>
      </c>
      <c r="G63" s="5" t="s">
        <v>367</v>
      </c>
      <c r="H63" s="2" t="str">
        <f t="shared" si="6"/>
        <v>OK</v>
      </c>
      <c r="K63" s="2">
        <v>1</v>
      </c>
      <c r="L63" s="2">
        <v>0</v>
      </c>
    </row>
    <row r="64" spans="3:12" ht="13">
      <c r="C64" s="9" t="s">
        <v>366</v>
      </c>
      <c r="E64" s="2" t="str">
        <f t="shared" si="5"/>
        <v>OK</v>
      </c>
      <c r="F64" s="5" t="s">
        <v>368</v>
      </c>
      <c r="G64" s="5" t="s">
        <v>368</v>
      </c>
      <c r="H64" s="2" t="str">
        <f t="shared" si="6"/>
        <v>OK</v>
      </c>
      <c r="K64" s="2">
        <v>0</v>
      </c>
      <c r="L64" s="2">
        <v>2</v>
      </c>
    </row>
    <row r="65" spans="3:12" ht="13">
      <c r="C65" s="9" t="s">
        <v>367</v>
      </c>
      <c r="E65" s="2" t="str">
        <f t="shared" si="5"/>
        <v>OK</v>
      </c>
      <c r="F65" s="5" t="s">
        <v>369</v>
      </c>
      <c r="G65" s="5" t="s">
        <v>369</v>
      </c>
      <c r="H65" s="2" t="str">
        <f t="shared" si="6"/>
        <v>OK</v>
      </c>
      <c r="K65" s="2">
        <v>0</v>
      </c>
      <c r="L65" s="2">
        <v>2</v>
      </c>
    </row>
    <row r="66" spans="3:12" ht="13">
      <c r="C66" s="9" t="s">
        <v>368</v>
      </c>
      <c r="E66" s="2" t="str">
        <f t="shared" si="5"/>
        <v>OK</v>
      </c>
      <c r="F66" s="3" t="s">
        <v>370</v>
      </c>
      <c r="G66" s="3" t="s">
        <v>370</v>
      </c>
      <c r="H66" s="2" t="str">
        <f t="shared" si="6"/>
        <v>OK</v>
      </c>
      <c r="K66" s="2">
        <v>1</v>
      </c>
      <c r="L66" s="2">
        <v>0</v>
      </c>
    </row>
    <row r="67" spans="3:12" ht="13">
      <c r="C67" s="8" t="s">
        <v>369</v>
      </c>
      <c r="E67" s="2" t="str">
        <f t="shared" si="5"/>
        <v>OK</v>
      </c>
      <c r="F67" s="3" t="s">
        <v>371</v>
      </c>
      <c r="G67" s="3" t="s">
        <v>371</v>
      </c>
      <c r="H67" s="2" t="str">
        <f t="shared" si="6"/>
        <v>OK</v>
      </c>
      <c r="K67" s="2">
        <v>1</v>
      </c>
      <c r="L67" s="2">
        <v>0</v>
      </c>
    </row>
    <row r="68" spans="3:12" ht="13">
      <c r="C68" s="8" t="s">
        <v>370</v>
      </c>
      <c r="E68" s="2" t="str">
        <f t="shared" si="5"/>
        <v>OK</v>
      </c>
      <c r="F68" s="5" t="s">
        <v>372</v>
      </c>
      <c r="G68" s="5" t="s">
        <v>372</v>
      </c>
      <c r="H68" s="2" t="str">
        <f t="shared" si="6"/>
        <v>OK</v>
      </c>
      <c r="K68" s="2">
        <v>1</v>
      </c>
      <c r="L68" s="2">
        <v>0</v>
      </c>
    </row>
    <row r="69" spans="3:12" ht="13">
      <c r="C69" s="8" t="s">
        <v>371</v>
      </c>
      <c r="E69" s="2" t="str">
        <f t="shared" si="5"/>
        <v>OK</v>
      </c>
      <c r="F69" s="5" t="s">
        <v>373</v>
      </c>
      <c r="G69" s="5" t="s">
        <v>373</v>
      </c>
      <c r="H69" s="2" t="str">
        <f t="shared" si="6"/>
        <v>OK</v>
      </c>
      <c r="K69" s="2">
        <v>1</v>
      </c>
      <c r="L69" s="2">
        <v>0</v>
      </c>
    </row>
    <row r="70" spans="3:12" ht="13">
      <c r="C70" s="8" t="s">
        <v>372</v>
      </c>
      <c r="E70" s="2" t="str">
        <f t="shared" si="5"/>
        <v>OK</v>
      </c>
      <c r="F70" s="5" t="s">
        <v>374</v>
      </c>
      <c r="G70" s="5" t="s">
        <v>374</v>
      </c>
      <c r="H70" s="2" t="str">
        <f t="shared" si="6"/>
        <v>OK</v>
      </c>
      <c r="K70" s="2">
        <v>1</v>
      </c>
      <c r="L70" s="2">
        <v>0</v>
      </c>
    </row>
    <row r="71" spans="3:12" ht="13">
      <c r="C71" s="9" t="s">
        <v>373</v>
      </c>
      <c r="E71" s="2" t="str">
        <f t="shared" si="5"/>
        <v>OK</v>
      </c>
      <c r="F71" s="5" t="s">
        <v>375</v>
      </c>
      <c r="G71" s="5" t="s">
        <v>375</v>
      </c>
      <c r="H71" s="2" t="str">
        <f t="shared" si="6"/>
        <v>OK</v>
      </c>
      <c r="K71" s="2">
        <v>1</v>
      </c>
      <c r="L71" s="2">
        <v>0</v>
      </c>
    </row>
    <row r="72" spans="3:12" ht="13">
      <c r="C72" s="9" t="s">
        <v>374</v>
      </c>
      <c r="E72" s="2" t="str">
        <f t="shared" si="5"/>
        <v>OK</v>
      </c>
      <c r="F72" s="5" t="s">
        <v>376</v>
      </c>
      <c r="G72" s="5" t="s">
        <v>376</v>
      </c>
      <c r="H72" s="2" t="str">
        <f t="shared" si="6"/>
        <v>OK</v>
      </c>
      <c r="K72" s="2">
        <v>1</v>
      </c>
      <c r="L72" s="2">
        <v>0</v>
      </c>
    </row>
    <row r="73" spans="3:12" ht="13">
      <c r="C73" s="9" t="s">
        <v>375</v>
      </c>
      <c r="E73" s="2" t="str">
        <f t="shared" si="5"/>
        <v>OK</v>
      </c>
      <c r="F73" s="5" t="s">
        <v>377</v>
      </c>
      <c r="G73" s="5" t="s">
        <v>377</v>
      </c>
      <c r="H73" s="2" t="str">
        <f t="shared" si="6"/>
        <v>OK</v>
      </c>
      <c r="K73" s="2">
        <v>1</v>
      </c>
      <c r="L73" s="2">
        <v>0</v>
      </c>
    </row>
    <row r="74" spans="3:12" ht="13">
      <c r="C74" s="9" t="s">
        <v>376</v>
      </c>
      <c r="E74" s="2" t="str">
        <f t="shared" si="5"/>
        <v>OK</v>
      </c>
      <c r="F74" s="5" t="s">
        <v>378</v>
      </c>
      <c r="G74" s="5" t="s">
        <v>378</v>
      </c>
      <c r="H74" s="2" t="str">
        <f t="shared" si="6"/>
        <v>OK</v>
      </c>
      <c r="K74" s="2">
        <v>1</v>
      </c>
      <c r="L74" s="2">
        <v>0</v>
      </c>
    </row>
    <row r="75" spans="3:12" ht="13">
      <c r="C75" s="9" t="s">
        <v>377</v>
      </c>
      <c r="E75" s="2" t="str">
        <f t="shared" si="5"/>
        <v>OK</v>
      </c>
      <c r="K75" s="2">
        <v>1</v>
      </c>
      <c r="L75" s="2">
        <v>0</v>
      </c>
    </row>
    <row r="76" spans="3:12" ht="13">
      <c r="C76" s="8" t="s">
        <v>378</v>
      </c>
      <c r="E76" s="2" t="str">
        <f t="shared" si="5"/>
        <v>OK</v>
      </c>
      <c r="F76" s="2"/>
      <c r="K76" s="2">
        <v>1</v>
      </c>
      <c r="L76" s="2">
        <v>2</v>
      </c>
    </row>
    <row r="77" spans="3:12" ht="13">
      <c r="K77" s="2">
        <v>0</v>
      </c>
      <c r="L77" s="2">
        <v>2</v>
      </c>
    </row>
    <row r="78" spans="3:12" ht="13">
      <c r="K78" s="2">
        <v>1</v>
      </c>
      <c r="L78" s="2">
        <v>0</v>
      </c>
    </row>
    <row r="79" spans="3:12" ht="13">
      <c r="K79" s="2">
        <v>1</v>
      </c>
      <c r="L79" s="2">
        <v>0</v>
      </c>
    </row>
    <row r="80" spans="3:12" ht="13">
      <c r="K80" s="2">
        <v>1</v>
      </c>
      <c r="L80" s="2">
        <v>0</v>
      </c>
    </row>
    <row r="81" spans="11:12" ht="13">
      <c r="K81" s="2">
        <v>0</v>
      </c>
      <c r="L81" s="2">
        <v>2</v>
      </c>
    </row>
    <row r="82" spans="11:12" ht="13">
      <c r="K82" s="2">
        <v>1</v>
      </c>
      <c r="L82" s="2">
        <v>0</v>
      </c>
    </row>
    <row r="83" spans="11:12" ht="13">
      <c r="K83" s="2">
        <v>1</v>
      </c>
      <c r="L83" s="2">
        <v>0</v>
      </c>
    </row>
    <row r="84" spans="11:12" ht="13">
      <c r="K84" s="2">
        <v>0</v>
      </c>
      <c r="L84" s="2">
        <v>2</v>
      </c>
    </row>
    <row r="85" spans="11:12" ht="13">
      <c r="K85" s="2">
        <v>1</v>
      </c>
      <c r="L85" s="2">
        <v>0</v>
      </c>
    </row>
    <row r="86" spans="11:12" ht="13">
      <c r="K86" s="2">
        <v>1</v>
      </c>
      <c r="L86" s="2">
        <v>0</v>
      </c>
    </row>
    <row r="87" spans="11:12" ht="13">
      <c r="K87" s="2">
        <v>0</v>
      </c>
      <c r="L87" s="2">
        <v>2</v>
      </c>
    </row>
    <row r="88" spans="11:12" ht="13">
      <c r="K88" s="2">
        <v>0</v>
      </c>
      <c r="L88" s="2">
        <v>2</v>
      </c>
    </row>
    <row r="89" spans="11:12" ht="13">
      <c r="K89" s="2">
        <v>1</v>
      </c>
      <c r="L89" s="2">
        <v>0</v>
      </c>
    </row>
    <row r="90" spans="11:12" ht="13">
      <c r="K90" s="2">
        <v>1</v>
      </c>
      <c r="L90" s="2">
        <v>0</v>
      </c>
    </row>
    <row r="91" spans="11:12" ht="13">
      <c r="K91" s="2">
        <v>1</v>
      </c>
      <c r="L91" s="2">
        <v>0</v>
      </c>
    </row>
    <row r="92" spans="11:12" ht="13">
      <c r="K92" s="2">
        <v>0</v>
      </c>
      <c r="L92" s="2">
        <v>2</v>
      </c>
    </row>
    <row r="93" spans="11:12" ht="13">
      <c r="K93" s="2">
        <v>1</v>
      </c>
      <c r="L93" s="2">
        <v>0</v>
      </c>
    </row>
    <row r="94" spans="11:12" ht="13">
      <c r="K94" s="2">
        <v>1</v>
      </c>
      <c r="L94" s="2">
        <v>0</v>
      </c>
    </row>
    <row r="95" spans="11:12" ht="13">
      <c r="K95" s="2">
        <v>1</v>
      </c>
      <c r="L95" s="2">
        <v>0</v>
      </c>
    </row>
    <row r="96" spans="11:12" ht="13">
      <c r="K96" s="2">
        <v>1</v>
      </c>
      <c r="L96" s="2">
        <v>0</v>
      </c>
    </row>
    <row r="97" spans="11:12" ht="13">
      <c r="K97" s="2">
        <v>0</v>
      </c>
      <c r="L97" s="2">
        <v>2</v>
      </c>
    </row>
    <row r="98" spans="11:12" ht="13">
      <c r="K98" s="2">
        <v>1</v>
      </c>
      <c r="L98" s="2">
        <v>0</v>
      </c>
    </row>
    <row r="99" spans="11:12" ht="13">
      <c r="K99" s="2">
        <v>1</v>
      </c>
      <c r="L99" s="2">
        <v>0</v>
      </c>
    </row>
    <row r="100" spans="11:12" ht="13">
      <c r="K100" s="2">
        <v>0</v>
      </c>
      <c r="L100" s="2">
        <v>2</v>
      </c>
    </row>
    <row r="101" spans="11:12" ht="13">
      <c r="K101" s="2">
        <v>1</v>
      </c>
      <c r="L101" s="2">
        <v>0</v>
      </c>
    </row>
    <row r="102" spans="11:12" ht="13">
      <c r="K102" s="2">
        <v>1</v>
      </c>
      <c r="L102" s="2">
        <v>0</v>
      </c>
    </row>
    <row r="103" spans="11:12" ht="13">
      <c r="K103" s="2">
        <v>1</v>
      </c>
      <c r="L103" s="2">
        <v>0</v>
      </c>
    </row>
    <row r="104" spans="11:12" ht="13">
      <c r="K104" s="2">
        <v>0</v>
      </c>
      <c r="L104" s="2">
        <v>2</v>
      </c>
    </row>
    <row r="105" spans="11:12" ht="13">
      <c r="K105" s="2">
        <v>1</v>
      </c>
      <c r="L105" s="2">
        <v>0</v>
      </c>
    </row>
    <row r="106" spans="11:12" ht="13">
      <c r="K106" s="2">
        <v>1</v>
      </c>
      <c r="L106" s="2">
        <v>0</v>
      </c>
    </row>
    <row r="107" spans="11:12" ht="13">
      <c r="K107" s="2">
        <v>1</v>
      </c>
      <c r="L107" s="2">
        <v>0</v>
      </c>
    </row>
    <row r="108" spans="11:12" ht="13">
      <c r="K108" s="2">
        <v>1</v>
      </c>
      <c r="L108" s="2">
        <v>0</v>
      </c>
    </row>
    <row r="109" spans="11:12" ht="13">
      <c r="K109" s="2">
        <v>1</v>
      </c>
      <c r="L109" s="2">
        <v>0</v>
      </c>
    </row>
    <row r="110" spans="11:12" ht="13">
      <c r="K110" s="2">
        <v>1</v>
      </c>
      <c r="L110" s="2">
        <v>0</v>
      </c>
    </row>
    <row r="111" spans="11:12" ht="13">
      <c r="K111" s="2">
        <v>1</v>
      </c>
      <c r="L111" s="2">
        <v>0</v>
      </c>
    </row>
    <row r="112" spans="11:12" ht="13">
      <c r="K112" s="2">
        <v>1</v>
      </c>
      <c r="L112" s="2">
        <v>0</v>
      </c>
    </row>
    <row r="113" spans="11:12" ht="13">
      <c r="K113" s="2">
        <v>1</v>
      </c>
      <c r="L113" s="2">
        <v>0</v>
      </c>
    </row>
    <row r="114" spans="11:12" ht="13">
      <c r="K114" s="2">
        <v>1</v>
      </c>
      <c r="L114" s="2">
        <v>0</v>
      </c>
    </row>
    <row r="115" spans="11:12" ht="13">
      <c r="K115" s="2">
        <v>0</v>
      </c>
      <c r="L115" s="2">
        <v>3</v>
      </c>
    </row>
    <row r="116" spans="11:12" ht="13">
      <c r="K116" s="2">
        <v>1</v>
      </c>
      <c r="L116" s="2">
        <v>0</v>
      </c>
    </row>
    <row r="117" spans="11:12" ht="13">
      <c r="K117" s="2">
        <v>0</v>
      </c>
      <c r="L117" s="2">
        <v>2</v>
      </c>
    </row>
    <row r="118" spans="11:12" ht="13">
      <c r="K118" s="2">
        <v>0</v>
      </c>
      <c r="L118" s="2">
        <v>2</v>
      </c>
    </row>
    <row r="119" spans="11:12" ht="13">
      <c r="K119" s="2">
        <v>1</v>
      </c>
      <c r="L119" s="2">
        <v>0</v>
      </c>
    </row>
    <row r="120" spans="11:12" ht="13">
      <c r="K120" s="2">
        <v>1</v>
      </c>
      <c r="L120" s="2">
        <v>0</v>
      </c>
    </row>
    <row r="121" spans="11:12" ht="13">
      <c r="K121" s="2">
        <v>0</v>
      </c>
      <c r="L121" s="2">
        <v>2</v>
      </c>
    </row>
    <row r="122" spans="11:12" ht="13">
      <c r="K122" s="2">
        <v>1</v>
      </c>
      <c r="L122" s="2">
        <v>0</v>
      </c>
    </row>
    <row r="123" spans="11:12" ht="13">
      <c r="K123" s="2">
        <v>1</v>
      </c>
      <c r="L123" s="2">
        <v>0</v>
      </c>
    </row>
    <row r="124" spans="11:12" ht="13">
      <c r="K124" s="2">
        <v>1</v>
      </c>
      <c r="L124" s="2">
        <v>0</v>
      </c>
    </row>
    <row r="125" spans="11:12" ht="13">
      <c r="K125" s="2">
        <v>1</v>
      </c>
      <c r="L125" s="2">
        <v>0</v>
      </c>
    </row>
    <row r="126" spans="11:12" ht="13">
      <c r="K126" s="2">
        <v>1</v>
      </c>
      <c r="L126" s="2">
        <v>0</v>
      </c>
    </row>
    <row r="127" spans="11:12" ht="13">
      <c r="K127" s="2">
        <v>1</v>
      </c>
      <c r="L127" s="2">
        <v>0</v>
      </c>
    </row>
    <row r="128" spans="11:12" ht="13">
      <c r="K128" s="2">
        <v>1</v>
      </c>
      <c r="L128" s="2">
        <v>0</v>
      </c>
    </row>
    <row r="129" spans="11:12" ht="13">
      <c r="K129" s="2">
        <v>0</v>
      </c>
      <c r="L129" s="2">
        <v>2</v>
      </c>
    </row>
    <row r="130" spans="11:12" ht="13">
      <c r="K130" s="2">
        <v>0</v>
      </c>
      <c r="L130" s="2">
        <v>2</v>
      </c>
    </row>
    <row r="131" spans="11:12" ht="13">
      <c r="K131" s="2">
        <v>1</v>
      </c>
      <c r="L131" s="2">
        <v>0</v>
      </c>
    </row>
    <row r="132" spans="11:12" ht="13">
      <c r="K132" s="2">
        <v>1</v>
      </c>
      <c r="L132" s="2">
        <v>0</v>
      </c>
    </row>
    <row r="133" spans="11:12" ht="13">
      <c r="K133" s="2">
        <v>1</v>
      </c>
      <c r="L133" s="2">
        <v>0</v>
      </c>
    </row>
    <row r="134" spans="11:12" ht="13">
      <c r="K134" s="2">
        <v>0</v>
      </c>
      <c r="L134" s="2">
        <v>2</v>
      </c>
    </row>
    <row r="135" spans="11:12" ht="13">
      <c r="K135" s="2">
        <v>0</v>
      </c>
      <c r="L135" s="2">
        <v>2</v>
      </c>
    </row>
    <row r="136" spans="11:12" ht="13">
      <c r="K136" s="2">
        <v>1</v>
      </c>
      <c r="L136" s="2">
        <v>0</v>
      </c>
    </row>
    <row r="137" spans="11:12" ht="13">
      <c r="K137" s="2">
        <v>1</v>
      </c>
      <c r="L137" s="2">
        <v>0</v>
      </c>
    </row>
    <row r="138" spans="11:12" ht="13">
      <c r="K138" s="2">
        <v>1</v>
      </c>
      <c r="L138" s="2">
        <v>0</v>
      </c>
    </row>
    <row r="139" spans="11:12" ht="13">
      <c r="K139" s="2">
        <v>1</v>
      </c>
      <c r="L139" s="2">
        <v>0</v>
      </c>
    </row>
    <row r="140" spans="11:12" ht="13">
      <c r="K140" s="2">
        <v>1</v>
      </c>
      <c r="L140" s="2">
        <v>0</v>
      </c>
    </row>
    <row r="141" spans="11:12" ht="13">
      <c r="K141" s="2">
        <v>1</v>
      </c>
      <c r="L141" s="2">
        <v>0</v>
      </c>
    </row>
    <row r="142" spans="11:12" ht="13">
      <c r="K142" s="2">
        <v>1</v>
      </c>
      <c r="L142" s="2">
        <v>0</v>
      </c>
    </row>
    <row r="143" spans="11:12" ht="13">
      <c r="K143" s="2">
        <v>1</v>
      </c>
      <c r="L143" s="2">
        <v>0</v>
      </c>
    </row>
    <row r="144" spans="11:12" ht="13">
      <c r="K144" s="2">
        <v>1</v>
      </c>
      <c r="L144" s="2">
        <v>0</v>
      </c>
    </row>
    <row r="145" spans="11:12" ht="13">
      <c r="K145" s="2">
        <v>0</v>
      </c>
      <c r="L145" s="2">
        <v>2</v>
      </c>
    </row>
    <row r="146" spans="11:12" ht="13">
      <c r="K146" s="2">
        <v>0</v>
      </c>
      <c r="L146" s="2">
        <v>2</v>
      </c>
    </row>
    <row r="147" spans="11:12" ht="13">
      <c r="K147" s="2">
        <v>1</v>
      </c>
      <c r="L147" s="2">
        <v>0</v>
      </c>
    </row>
    <row r="148" spans="11:12" ht="13">
      <c r="K148" s="2">
        <v>1</v>
      </c>
      <c r="L148" s="2">
        <v>0</v>
      </c>
    </row>
    <row r="149" spans="11:12" ht="13">
      <c r="K149" s="2">
        <v>1</v>
      </c>
      <c r="L149" s="2">
        <v>0</v>
      </c>
    </row>
    <row r="150" spans="11:12" ht="13">
      <c r="K150" s="2">
        <v>1</v>
      </c>
      <c r="L150" s="2">
        <v>0</v>
      </c>
    </row>
    <row r="151" spans="11:12" ht="13">
      <c r="K151" s="2">
        <v>0</v>
      </c>
      <c r="L151" s="2">
        <v>2</v>
      </c>
    </row>
    <row r="152" spans="11:12" ht="13">
      <c r="K152" s="2">
        <v>1</v>
      </c>
      <c r="L152" s="2">
        <v>0</v>
      </c>
    </row>
    <row r="153" spans="11:12" ht="13">
      <c r="K153" s="2">
        <v>1</v>
      </c>
      <c r="L153" s="2">
        <v>0</v>
      </c>
    </row>
    <row r="154" spans="11:12" ht="13">
      <c r="K154" s="2">
        <v>1</v>
      </c>
      <c r="L154" s="2">
        <v>0</v>
      </c>
    </row>
    <row r="155" spans="11:12" ht="13">
      <c r="K155" s="2">
        <v>2</v>
      </c>
      <c r="L155" s="2">
        <v>0</v>
      </c>
    </row>
    <row r="156" spans="11:12" ht="13">
      <c r="K156" s="2">
        <v>1</v>
      </c>
      <c r="L156" s="2">
        <v>0</v>
      </c>
    </row>
    <row r="157" spans="11:12" ht="13">
      <c r="K157" s="2">
        <v>0</v>
      </c>
      <c r="L157" s="2">
        <v>2</v>
      </c>
    </row>
    <row r="158" spans="11:12" ht="13">
      <c r="K158" s="2">
        <v>1</v>
      </c>
      <c r="L158" s="2">
        <v>0</v>
      </c>
    </row>
    <row r="159" spans="11:12" ht="13">
      <c r="K159" s="2">
        <v>1</v>
      </c>
      <c r="L159" s="2">
        <v>0</v>
      </c>
    </row>
    <row r="160" spans="11:12" ht="13">
      <c r="K160" s="2">
        <v>1</v>
      </c>
      <c r="L160" s="2">
        <v>0</v>
      </c>
    </row>
    <row r="161" spans="11:12" ht="13">
      <c r="K161" s="2">
        <v>1</v>
      </c>
      <c r="L161" s="2">
        <v>0</v>
      </c>
    </row>
    <row r="162" spans="11:12" ht="13">
      <c r="K162" s="2">
        <v>1</v>
      </c>
      <c r="L162" s="2">
        <v>0</v>
      </c>
    </row>
    <row r="163" spans="11:12" ht="13">
      <c r="K163" s="2">
        <v>1</v>
      </c>
      <c r="L163" s="2">
        <v>0</v>
      </c>
    </row>
    <row r="164" spans="11:12" ht="13">
      <c r="K164" s="2">
        <v>1</v>
      </c>
      <c r="L164" s="2">
        <v>0</v>
      </c>
    </row>
    <row r="165" spans="11:12" ht="13">
      <c r="K165" s="2">
        <v>0</v>
      </c>
      <c r="L165" s="2">
        <v>2</v>
      </c>
    </row>
    <row r="166" spans="11:12" ht="13">
      <c r="K166" s="2">
        <v>1</v>
      </c>
      <c r="L166" s="2">
        <v>0</v>
      </c>
    </row>
    <row r="167" spans="11:12" ht="13">
      <c r="K167" s="2">
        <v>1</v>
      </c>
      <c r="L167" s="2">
        <v>0</v>
      </c>
    </row>
    <row r="168" spans="11:12" ht="13">
      <c r="K168" s="2">
        <v>1</v>
      </c>
      <c r="L168" s="2">
        <v>0</v>
      </c>
    </row>
    <row r="169" spans="11:12" ht="13">
      <c r="K169" s="2">
        <v>1</v>
      </c>
      <c r="L169" s="2">
        <v>0</v>
      </c>
    </row>
    <row r="170" spans="11:12" ht="13">
      <c r="K170" s="2">
        <v>1</v>
      </c>
      <c r="L170" s="2">
        <v>0</v>
      </c>
    </row>
    <row r="171" spans="11:12" ht="13">
      <c r="K171" s="2">
        <v>1</v>
      </c>
      <c r="L171" s="2">
        <v>0</v>
      </c>
    </row>
    <row r="172" spans="11:12" ht="13">
      <c r="K172" s="2">
        <v>1</v>
      </c>
      <c r="L172" s="2">
        <v>0</v>
      </c>
    </row>
    <row r="173" spans="11:12" ht="13">
      <c r="K173" s="2">
        <v>1</v>
      </c>
      <c r="L173" s="2">
        <v>0</v>
      </c>
    </row>
    <row r="174" spans="11:12" ht="13">
      <c r="K174" s="2">
        <v>1</v>
      </c>
      <c r="L174" s="2">
        <v>0</v>
      </c>
    </row>
    <row r="175" spans="11:12" ht="13">
      <c r="K175" s="2">
        <v>1</v>
      </c>
      <c r="L175" s="2">
        <v>0</v>
      </c>
    </row>
    <row r="176" spans="11:12" ht="13">
      <c r="K176" s="2">
        <v>1</v>
      </c>
      <c r="L176" s="2">
        <v>0</v>
      </c>
    </row>
    <row r="177" spans="11:12" ht="13">
      <c r="K177" s="2">
        <v>1</v>
      </c>
      <c r="L177" s="2">
        <v>0</v>
      </c>
    </row>
    <row r="178" spans="11:12" ht="13">
      <c r="K178" s="2">
        <v>1</v>
      </c>
      <c r="L178" s="2">
        <v>0</v>
      </c>
    </row>
    <row r="179" spans="11:12" ht="13">
      <c r="K179" s="2">
        <v>1</v>
      </c>
      <c r="L179" s="2">
        <v>0</v>
      </c>
    </row>
    <row r="180" spans="11:12" ht="13">
      <c r="K180" s="2">
        <v>1</v>
      </c>
      <c r="L180" s="2">
        <v>0</v>
      </c>
    </row>
    <row r="181" spans="11:12" ht="13">
      <c r="K181" s="2">
        <v>1</v>
      </c>
      <c r="L181" s="2">
        <v>0</v>
      </c>
    </row>
    <row r="182" spans="11:12" ht="13">
      <c r="K182" s="2">
        <v>1</v>
      </c>
      <c r="L182" s="2">
        <v>0</v>
      </c>
    </row>
    <row r="183" spans="11:12" ht="13">
      <c r="K183" s="2">
        <v>1</v>
      </c>
      <c r="L183" s="2">
        <v>0</v>
      </c>
    </row>
    <row r="184" spans="11:12" ht="13">
      <c r="K184" s="2">
        <v>1</v>
      </c>
      <c r="L184" s="2">
        <v>0</v>
      </c>
    </row>
    <row r="185" spans="11:12" ht="13">
      <c r="K185" s="2">
        <v>1</v>
      </c>
      <c r="L185" s="2">
        <v>0</v>
      </c>
    </row>
    <row r="186" spans="11:12" ht="13">
      <c r="K186" s="2">
        <v>1</v>
      </c>
      <c r="L186" s="2">
        <v>0</v>
      </c>
    </row>
    <row r="187" spans="11:12" ht="13">
      <c r="K187" s="2">
        <v>1</v>
      </c>
      <c r="L187" s="2">
        <v>0</v>
      </c>
    </row>
    <row r="188" spans="11:12" ht="13">
      <c r="K188" s="2">
        <v>1</v>
      </c>
      <c r="L188" s="2">
        <v>0</v>
      </c>
    </row>
    <row r="189" spans="11:12" ht="13">
      <c r="K189" s="2">
        <v>1</v>
      </c>
      <c r="L189" s="2">
        <v>0</v>
      </c>
    </row>
    <row r="190" spans="11:12" ht="13">
      <c r="K190" s="2">
        <v>0</v>
      </c>
      <c r="L190" s="2">
        <v>2</v>
      </c>
    </row>
    <row r="191" spans="11:12" ht="13">
      <c r="K191" s="2">
        <v>2</v>
      </c>
      <c r="L191" s="2">
        <v>0</v>
      </c>
    </row>
    <row r="192" spans="11:12" ht="13">
      <c r="K192" s="2">
        <v>0</v>
      </c>
      <c r="L192" s="2">
        <v>3</v>
      </c>
    </row>
    <row r="193" spans="11:12" ht="13">
      <c r="K193" s="2">
        <v>2</v>
      </c>
      <c r="L193" s="2">
        <v>0</v>
      </c>
    </row>
    <row r="194" spans="11:12" ht="13">
      <c r="K194" s="2">
        <v>1</v>
      </c>
      <c r="L194" s="2">
        <v>0</v>
      </c>
    </row>
    <row r="195" spans="11:12" ht="13">
      <c r="K195" s="2">
        <v>1</v>
      </c>
      <c r="L195" s="2">
        <v>0</v>
      </c>
    </row>
    <row r="196" spans="11:12" ht="13">
      <c r="K196" s="2">
        <v>1</v>
      </c>
      <c r="L196" s="2">
        <v>0</v>
      </c>
    </row>
    <row r="197" spans="11:12" ht="13">
      <c r="K197" s="2">
        <v>1</v>
      </c>
      <c r="L197" s="2">
        <v>0</v>
      </c>
    </row>
    <row r="198" spans="11:12" ht="13">
      <c r="K198" s="2">
        <v>1</v>
      </c>
      <c r="L198" s="2">
        <v>0</v>
      </c>
    </row>
    <row r="199" spans="11:12" ht="13">
      <c r="K199" s="2">
        <v>1</v>
      </c>
      <c r="L199" s="2">
        <v>0</v>
      </c>
    </row>
    <row r="200" spans="11:12" ht="13">
      <c r="K200" s="2">
        <v>1</v>
      </c>
      <c r="L200" s="2">
        <v>1</v>
      </c>
    </row>
    <row r="201" spans="11:12" ht="13">
      <c r="K201" s="2">
        <v>1</v>
      </c>
      <c r="L201" s="2">
        <v>0</v>
      </c>
    </row>
    <row r="202" spans="11:12" ht="13">
      <c r="K202" s="2">
        <v>1</v>
      </c>
      <c r="L202" s="2">
        <v>0</v>
      </c>
    </row>
    <row r="203" spans="11:12" ht="13">
      <c r="K203" s="2">
        <v>1</v>
      </c>
      <c r="L203" s="2">
        <v>0</v>
      </c>
    </row>
    <row r="204" spans="11:12" ht="13">
      <c r="K204" s="2">
        <v>0</v>
      </c>
      <c r="L204" s="2">
        <v>3</v>
      </c>
    </row>
    <row r="205" spans="11:12" ht="13">
      <c r="K205" s="2">
        <v>1</v>
      </c>
      <c r="L205" s="2">
        <v>0</v>
      </c>
    </row>
    <row r="206" spans="11:12" ht="13">
      <c r="K206" s="2">
        <v>1</v>
      </c>
      <c r="L206" s="2">
        <v>0</v>
      </c>
    </row>
    <row r="207" spans="11:12" ht="13">
      <c r="K207" s="2">
        <v>1</v>
      </c>
      <c r="L207" s="2">
        <v>0</v>
      </c>
    </row>
    <row r="208" spans="11:12" ht="13">
      <c r="K208" s="2">
        <v>1</v>
      </c>
      <c r="L208" s="2">
        <v>0</v>
      </c>
    </row>
    <row r="209" spans="11:12" ht="13">
      <c r="K209" s="2">
        <v>1</v>
      </c>
      <c r="L209" s="2">
        <v>0</v>
      </c>
    </row>
    <row r="210" spans="11:12" ht="13">
      <c r="K210" s="2">
        <v>1</v>
      </c>
      <c r="L210" s="2">
        <v>0</v>
      </c>
    </row>
    <row r="211" spans="11:12" ht="13">
      <c r="K211" s="2">
        <v>0</v>
      </c>
      <c r="L211" s="2">
        <v>2</v>
      </c>
    </row>
    <row r="212" spans="11:12" ht="13">
      <c r="K212" s="2">
        <v>1</v>
      </c>
      <c r="L212" s="2">
        <v>0</v>
      </c>
    </row>
    <row r="213" spans="11:12" ht="13">
      <c r="K213" s="2">
        <v>1</v>
      </c>
      <c r="L213" s="2">
        <v>0</v>
      </c>
    </row>
    <row r="214" spans="11:12" ht="13">
      <c r="K214" s="2">
        <v>1</v>
      </c>
      <c r="L214" s="2">
        <v>0</v>
      </c>
    </row>
    <row r="215" spans="11:12" ht="13">
      <c r="K215" s="2">
        <v>1</v>
      </c>
      <c r="L215" s="2">
        <v>0</v>
      </c>
    </row>
    <row r="216" spans="11:12" ht="13">
      <c r="K216" s="2">
        <v>1</v>
      </c>
      <c r="L216" s="2">
        <v>2</v>
      </c>
    </row>
    <row r="217" spans="11:12" ht="13">
      <c r="K217" s="2">
        <v>1</v>
      </c>
      <c r="L217" s="2">
        <v>0</v>
      </c>
    </row>
    <row r="218" spans="11:12" ht="13">
      <c r="K218" s="2">
        <v>1</v>
      </c>
      <c r="L218" s="2">
        <v>0</v>
      </c>
    </row>
    <row r="219" spans="11:12" ht="13">
      <c r="K219" s="2">
        <v>1</v>
      </c>
      <c r="L219" s="2">
        <v>0</v>
      </c>
    </row>
    <row r="220" spans="11:12" ht="13">
      <c r="K220" s="2">
        <v>1</v>
      </c>
      <c r="L220" s="2">
        <v>0</v>
      </c>
    </row>
    <row r="221" spans="11:12" ht="13">
      <c r="K221" s="2">
        <v>1</v>
      </c>
      <c r="L221" s="2">
        <v>0</v>
      </c>
    </row>
    <row r="222" spans="11:12" ht="13">
      <c r="K222" s="2">
        <v>0</v>
      </c>
      <c r="L222" s="2">
        <v>3</v>
      </c>
    </row>
    <row r="223" spans="11:12" ht="13">
      <c r="K223" s="2">
        <v>1</v>
      </c>
      <c r="L223" s="2">
        <v>0</v>
      </c>
    </row>
    <row r="224" spans="11:12" ht="13">
      <c r="K224" s="2">
        <v>1</v>
      </c>
      <c r="L224" s="2">
        <v>0</v>
      </c>
    </row>
    <row r="225" spans="11:12" ht="13">
      <c r="K225" s="2">
        <v>1</v>
      </c>
      <c r="L225" s="2">
        <v>0</v>
      </c>
    </row>
    <row r="226" spans="11:12" ht="13">
      <c r="K226" s="2">
        <v>1</v>
      </c>
      <c r="L226" s="2">
        <v>0</v>
      </c>
    </row>
    <row r="227" spans="11:12" ht="13">
      <c r="K227" s="2">
        <v>1</v>
      </c>
      <c r="L227" s="2">
        <v>0</v>
      </c>
    </row>
    <row r="228" spans="11:12" ht="13">
      <c r="K228" s="2">
        <v>1</v>
      </c>
      <c r="L228" s="2">
        <v>0</v>
      </c>
    </row>
    <row r="229" spans="11:12" ht="13">
      <c r="K229" s="2">
        <v>0</v>
      </c>
      <c r="L229" s="2">
        <v>2</v>
      </c>
    </row>
    <row r="230" spans="11:12" ht="13">
      <c r="K230" s="2">
        <v>1</v>
      </c>
      <c r="L230" s="2">
        <v>0</v>
      </c>
    </row>
    <row r="231" spans="11:12" ht="13">
      <c r="K231" s="2">
        <v>1</v>
      </c>
      <c r="L231" s="2">
        <v>0</v>
      </c>
    </row>
    <row r="232" spans="11:12" ht="13">
      <c r="K232" s="2">
        <v>1</v>
      </c>
      <c r="L232" s="2">
        <v>0</v>
      </c>
    </row>
    <row r="233" spans="11:12" ht="13">
      <c r="K233" s="2">
        <v>1</v>
      </c>
      <c r="L233" s="2">
        <v>0</v>
      </c>
    </row>
    <row r="234" spans="11:12" ht="13">
      <c r="K234" s="2">
        <v>1</v>
      </c>
      <c r="L234" s="2">
        <v>0</v>
      </c>
    </row>
    <row r="235" spans="11:12" ht="13">
      <c r="K235" s="2">
        <v>1</v>
      </c>
      <c r="L235" s="2">
        <v>0</v>
      </c>
    </row>
    <row r="236" spans="11:12" ht="13">
      <c r="K236" s="2">
        <v>1</v>
      </c>
      <c r="L236" s="2">
        <v>1</v>
      </c>
    </row>
    <row r="237" spans="11:12" ht="13">
      <c r="K237" s="2">
        <v>1</v>
      </c>
      <c r="L237" s="2">
        <v>0</v>
      </c>
    </row>
    <row r="238" spans="11:12" ht="13">
      <c r="K238" s="2">
        <v>1</v>
      </c>
      <c r="L238" s="2">
        <v>0</v>
      </c>
    </row>
    <row r="239" spans="11:12" ht="13">
      <c r="K239" s="2">
        <v>0</v>
      </c>
      <c r="L239" s="2">
        <v>2</v>
      </c>
    </row>
    <row r="240" spans="11:12" ht="13">
      <c r="K240" s="2">
        <v>1</v>
      </c>
      <c r="L240" s="2">
        <v>0</v>
      </c>
    </row>
    <row r="241" spans="11:12" ht="13">
      <c r="K241" s="2">
        <v>1</v>
      </c>
      <c r="L241" s="2">
        <v>0</v>
      </c>
    </row>
    <row r="242" spans="11:12" ht="13">
      <c r="K242" s="2">
        <v>1</v>
      </c>
      <c r="L242" s="2">
        <v>0</v>
      </c>
    </row>
    <row r="243" spans="11:12" ht="13">
      <c r="K243" s="2">
        <v>1</v>
      </c>
      <c r="L243" s="2">
        <v>0</v>
      </c>
    </row>
    <row r="244" spans="11:12" ht="13">
      <c r="K244" s="2">
        <v>1</v>
      </c>
      <c r="L244" s="2">
        <v>0</v>
      </c>
    </row>
    <row r="245" spans="11:12" ht="13">
      <c r="K245" s="2">
        <v>1</v>
      </c>
      <c r="L245" s="2">
        <v>0</v>
      </c>
    </row>
    <row r="246" spans="11:12" ht="13">
      <c r="K246" s="2">
        <v>1</v>
      </c>
      <c r="L246" s="2">
        <v>0</v>
      </c>
    </row>
    <row r="247" spans="11:12" ht="13">
      <c r="K247" s="2">
        <v>1</v>
      </c>
      <c r="L247" s="2">
        <v>0</v>
      </c>
    </row>
    <row r="248" spans="11:12" ht="13">
      <c r="K248" s="2">
        <v>1</v>
      </c>
      <c r="L248" s="2">
        <v>0</v>
      </c>
    </row>
    <row r="249" spans="11:12" ht="13">
      <c r="K249" s="2">
        <v>1</v>
      </c>
      <c r="L249" s="2">
        <v>0</v>
      </c>
    </row>
    <row r="250" spans="11:12" ht="13">
      <c r="K250" s="2">
        <v>1</v>
      </c>
      <c r="L250" s="2">
        <v>0</v>
      </c>
    </row>
    <row r="251" spans="11:12" ht="13">
      <c r="K251" s="2">
        <v>1</v>
      </c>
      <c r="L251" s="2">
        <v>0</v>
      </c>
    </row>
    <row r="252" spans="11:12" ht="13">
      <c r="K252" s="2">
        <v>1</v>
      </c>
      <c r="L252" s="2">
        <v>0</v>
      </c>
    </row>
    <row r="253" spans="11:12" ht="13">
      <c r="K253" s="2">
        <v>1</v>
      </c>
      <c r="L253" s="2">
        <v>0</v>
      </c>
    </row>
    <row r="254" spans="11:12" ht="13">
      <c r="K254" s="2">
        <v>1</v>
      </c>
      <c r="L254" s="2">
        <v>0</v>
      </c>
    </row>
    <row r="255" spans="11:12" ht="13">
      <c r="K255" s="2">
        <v>1</v>
      </c>
      <c r="L255" s="2">
        <v>0</v>
      </c>
    </row>
    <row r="256" spans="11:12" ht="13">
      <c r="K256" s="2">
        <v>1</v>
      </c>
      <c r="L256" s="2">
        <v>0</v>
      </c>
    </row>
    <row r="257" spans="11:12" ht="13">
      <c r="K257" s="2">
        <v>0</v>
      </c>
      <c r="L257" s="2">
        <v>2</v>
      </c>
    </row>
    <row r="258" spans="11:12" ht="13">
      <c r="K258" s="2">
        <v>1</v>
      </c>
      <c r="L258" s="2">
        <v>0</v>
      </c>
    </row>
    <row r="259" spans="11:12" ht="13">
      <c r="K259" s="2">
        <v>0</v>
      </c>
      <c r="L259" s="2">
        <v>2</v>
      </c>
    </row>
    <row r="260" spans="11:12" ht="13">
      <c r="K260" s="2">
        <v>1</v>
      </c>
      <c r="L260" s="2">
        <v>0</v>
      </c>
    </row>
    <row r="261" spans="11:12" ht="13">
      <c r="K261" s="2">
        <v>1</v>
      </c>
      <c r="L261" s="2">
        <v>0</v>
      </c>
    </row>
    <row r="262" spans="11:12" ht="13">
      <c r="K262" s="2">
        <v>1</v>
      </c>
      <c r="L262" s="2">
        <v>0</v>
      </c>
    </row>
    <row r="263" spans="11:12" ht="13">
      <c r="K263" s="2">
        <v>1</v>
      </c>
      <c r="L263" s="2">
        <v>0</v>
      </c>
    </row>
    <row r="264" spans="11:12" ht="13">
      <c r="K264" s="2">
        <v>0</v>
      </c>
      <c r="L264" s="2">
        <v>2</v>
      </c>
    </row>
    <row r="265" spans="11:12" ht="13">
      <c r="K265" s="2">
        <v>1</v>
      </c>
      <c r="L265" s="2">
        <v>0</v>
      </c>
    </row>
    <row r="266" spans="11:12" ht="13">
      <c r="K266" s="2">
        <v>0</v>
      </c>
      <c r="L266" s="2">
        <v>2</v>
      </c>
    </row>
    <row r="267" spans="11:12" ht="13">
      <c r="K267" s="2">
        <v>1</v>
      </c>
      <c r="L267" s="2">
        <v>0</v>
      </c>
    </row>
    <row r="268" spans="11:12" ht="13">
      <c r="K268" s="2">
        <v>1</v>
      </c>
      <c r="L268" s="2">
        <v>0</v>
      </c>
    </row>
    <row r="269" spans="11:12" ht="13">
      <c r="K269" s="2">
        <v>0</v>
      </c>
      <c r="L269" s="2">
        <v>3</v>
      </c>
    </row>
    <row r="270" spans="11:12" ht="13">
      <c r="K270" s="2">
        <v>1</v>
      </c>
      <c r="L270" s="2">
        <v>0</v>
      </c>
    </row>
    <row r="271" spans="11:12" ht="13">
      <c r="K271" s="2">
        <v>1</v>
      </c>
      <c r="L271" s="2">
        <v>0</v>
      </c>
    </row>
    <row r="272" spans="11:12" ht="13">
      <c r="K272" s="2">
        <v>1</v>
      </c>
      <c r="L272" s="2">
        <v>0</v>
      </c>
    </row>
    <row r="273" spans="11:12" ht="13">
      <c r="K273" s="2">
        <v>1</v>
      </c>
      <c r="L273" s="2">
        <v>0</v>
      </c>
    </row>
    <row r="274" spans="11:12" ht="13">
      <c r="K274" s="2">
        <v>1</v>
      </c>
      <c r="L274" s="2">
        <v>0</v>
      </c>
    </row>
    <row r="275" spans="11:12" ht="13">
      <c r="K275" s="2">
        <v>1</v>
      </c>
      <c r="L275" s="2">
        <v>0</v>
      </c>
    </row>
    <row r="276" spans="11:12" ht="13">
      <c r="K276" s="2">
        <v>1</v>
      </c>
      <c r="L276" s="2">
        <v>0</v>
      </c>
    </row>
    <row r="277" spans="11:12" ht="13">
      <c r="K277" s="2">
        <v>0</v>
      </c>
      <c r="L277" s="2">
        <v>2</v>
      </c>
    </row>
    <row r="278" spans="11:12" ht="13">
      <c r="K278" s="2">
        <v>1</v>
      </c>
      <c r="L278" s="2">
        <v>0</v>
      </c>
    </row>
    <row r="279" spans="11:12" ht="13">
      <c r="K279" s="2">
        <v>1</v>
      </c>
      <c r="L279" s="2">
        <v>0</v>
      </c>
    </row>
    <row r="280" spans="11:12" ht="13">
      <c r="K280" s="2">
        <v>1</v>
      </c>
      <c r="L280" s="2">
        <v>0</v>
      </c>
    </row>
    <row r="281" spans="11:12" ht="13">
      <c r="K281" s="2">
        <v>1</v>
      </c>
      <c r="L281" s="2">
        <v>1</v>
      </c>
    </row>
    <row r="282" spans="11:12" ht="13">
      <c r="K282" s="2">
        <v>1</v>
      </c>
      <c r="L282" s="2">
        <v>0</v>
      </c>
    </row>
    <row r="283" spans="11:12" ht="13">
      <c r="K283" s="2">
        <v>1</v>
      </c>
      <c r="L283" s="2">
        <v>0</v>
      </c>
    </row>
    <row r="284" spans="11:12" ht="13">
      <c r="K284" s="2">
        <v>1</v>
      </c>
      <c r="L284" s="2">
        <v>0</v>
      </c>
    </row>
    <row r="285" spans="11:12" ht="13">
      <c r="K285" s="2">
        <v>1</v>
      </c>
      <c r="L285" s="2">
        <v>0</v>
      </c>
    </row>
    <row r="286" spans="11:12" ht="13">
      <c r="K286" s="2">
        <v>1</v>
      </c>
      <c r="L286" s="2">
        <v>0</v>
      </c>
    </row>
    <row r="287" spans="11:12" ht="13">
      <c r="K287" s="2">
        <v>1</v>
      </c>
      <c r="L287" s="2">
        <v>0</v>
      </c>
    </row>
    <row r="288" spans="11:12" ht="13">
      <c r="K288" s="2">
        <v>1</v>
      </c>
      <c r="L288" s="2">
        <v>0</v>
      </c>
    </row>
    <row r="289" spans="11:12" ht="13">
      <c r="K289" s="2">
        <v>0</v>
      </c>
      <c r="L289" s="2">
        <v>2</v>
      </c>
    </row>
    <row r="290" spans="11:12" ht="13">
      <c r="K290" s="2">
        <v>1</v>
      </c>
      <c r="L290" s="2">
        <v>0</v>
      </c>
    </row>
    <row r="291" spans="11:12" ht="13">
      <c r="K291" s="2">
        <v>1</v>
      </c>
      <c r="L291" s="2">
        <v>0</v>
      </c>
    </row>
    <row r="292" spans="11:12" ht="13">
      <c r="K292" s="2">
        <v>1</v>
      </c>
      <c r="L292" s="2">
        <v>0</v>
      </c>
    </row>
    <row r="293" spans="11:12" ht="13">
      <c r="K293" s="2">
        <v>1</v>
      </c>
      <c r="L293" s="2">
        <v>0</v>
      </c>
    </row>
    <row r="294" spans="11:12" ht="13">
      <c r="K294" s="2">
        <v>0</v>
      </c>
      <c r="L294" s="2">
        <v>3</v>
      </c>
    </row>
    <row r="295" spans="11:12" ht="13">
      <c r="K295" s="2">
        <v>1</v>
      </c>
      <c r="L295" s="2">
        <v>0</v>
      </c>
    </row>
    <row r="296" spans="11:12" ht="13">
      <c r="K296" s="2">
        <v>1</v>
      </c>
      <c r="L296" s="2">
        <v>0</v>
      </c>
    </row>
    <row r="297" spans="11:12" ht="13">
      <c r="K297" s="2">
        <v>1</v>
      </c>
      <c r="L297" s="2">
        <v>0</v>
      </c>
    </row>
    <row r="298" spans="11:12" ht="13">
      <c r="K298" s="2">
        <v>0</v>
      </c>
      <c r="L298" s="2">
        <v>2</v>
      </c>
    </row>
    <row r="299" spans="11:12" ht="13">
      <c r="K299" s="2">
        <v>0</v>
      </c>
      <c r="L299" s="2">
        <v>2</v>
      </c>
    </row>
    <row r="300" spans="11:12" ht="13">
      <c r="K300" s="2">
        <v>0</v>
      </c>
      <c r="L300" s="2">
        <v>2</v>
      </c>
    </row>
    <row r="301" spans="11:12" ht="13">
      <c r="K301" s="2">
        <v>0</v>
      </c>
      <c r="L301" s="2">
        <v>2</v>
      </c>
    </row>
    <row r="302" spans="11:12" ht="13">
      <c r="K302" s="2">
        <v>1</v>
      </c>
      <c r="L302" s="2">
        <v>0</v>
      </c>
    </row>
    <row r="303" spans="11:12" ht="13">
      <c r="K303" s="2">
        <v>1</v>
      </c>
      <c r="L303" s="2">
        <v>1</v>
      </c>
    </row>
    <row r="304" spans="11:12" ht="13">
      <c r="K304" s="2">
        <v>1</v>
      </c>
      <c r="L304" s="2">
        <v>0</v>
      </c>
    </row>
    <row r="305" spans="11:12" ht="13">
      <c r="K305" s="2">
        <v>1</v>
      </c>
      <c r="L305" s="2">
        <v>0</v>
      </c>
    </row>
    <row r="306" spans="11:12" ht="13">
      <c r="K306" s="2">
        <v>1</v>
      </c>
      <c r="L306" s="2">
        <v>0</v>
      </c>
    </row>
    <row r="307" spans="11:12" ht="13">
      <c r="K307" s="2">
        <v>1</v>
      </c>
      <c r="L307" s="2">
        <v>0</v>
      </c>
    </row>
    <row r="308" spans="11:12" ht="13">
      <c r="K308" s="2">
        <v>1</v>
      </c>
      <c r="L308" s="2">
        <v>0</v>
      </c>
    </row>
    <row r="309" spans="11:12" ht="13">
      <c r="K309" s="2">
        <v>1</v>
      </c>
      <c r="L309" s="2">
        <v>0</v>
      </c>
    </row>
    <row r="310" spans="11:12" ht="13">
      <c r="K310" s="2">
        <v>1</v>
      </c>
      <c r="L310" s="2">
        <v>0</v>
      </c>
    </row>
    <row r="311" spans="11:12" ht="13">
      <c r="K311" s="2">
        <v>1</v>
      </c>
      <c r="L311" s="2">
        <v>0</v>
      </c>
    </row>
    <row r="312" spans="11:12" ht="13">
      <c r="K312" s="2">
        <v>1</v>
      </c>
      <c r="L312" s="2">
        <v>0</v>
      </c>
    </row>
    <row r="313" spans="11:12" ht="13">
      <c r="K313" s="2">
        <v>1</v>
      </c>
      <c r="L313" s="2">
        <v>0</v>
      </c>
    </row>
    <row r="314" spans="11:12" ht="13">
      <c r="K314" s="2">
        <v>1</v>
      </c>
      <c r="L314" s="2">
        <v>0</v>
      </c>
    </row>
    <row r="315" spans="11:12" ht="13">
      <c r="K315" s="2">
        <v>1</v>
      </c>
      <c r="L315" s="2">
        <v>0</v>
      </c>
    </row>
    <row r="316" spans="11:12" ht="13">
      <c r="K316" s="2">
        <v>0</v>
      </c>
      <c r="L316" s="2">
        <v>2</v>
      </c>
    </row>
    <row r="317" spans="11:12" ht="13">
      <c r="K317" s="2">
        <v>1</v>
      </c>
      <c r="L317" s="2">
        <v>0</v>
      </c>
    </row>
    <row r="318" spans="11:12" ht="13">
      <c r="K318" s="2">
        <v>1</v>
      </c>
      <c r="L318" s="2">
        <v>0</v>
      </c>
    </row>
    <row r="319" spans="11:12" ht="13">
      <c r="K319" s="2">
        <v>1</v>
      </c>
      <c r="L319" s="2">
        <v>0</v>
      </c>
    </row>
    <row r="320" spans="11:12" ht="13">
      <c r="K320" s="2">
        <v>1</v>
      </c>
      <c r="L320" s="2">
        <v>0</v>
      </c>
    </row>
    <row r="321" spans="11:12" ht="13">
      <c r="K321" s="2">
        <v>1</v>
      </c>
      <c r="L321" s="2">
        <v>0</v>
      </c>
    </row>
    <row r="322" spans="11:12" ht="13">
      <c r="K322" s="2">
        <v>1</v>
      </c>
      <c r="L322" s="2">
        <v>0</v>
      </c>
    </row>
    <row r="323" spans="11:12" ht="13">
      <c r="K323" s="2">
        <v>1</v>
      </c>
      <c r="L323" s="2">
        <v>0</v>
      </c>
    </row>
    <row r="324" spans="11:12" ht="13">
      <c r="K324" s="2">
        <v>1</v>
      </c>
      <c r="L324" s="2">
        <v>0</v>
      </c>
    </row>
    <row r="325" spans="11:12" ht="13">
      <c r="K325" s="2">
        <v>1</v>
      </c>
      <c r="L325" s="2">
        <v>0</v>
      </c>
    </row>
    <row r="326" spans="11:12" ht="13">
      <c r="K326" s="2">
        <v>1</v>
      </c>
      <c r="L326" s="2">
        <v>0</v>
      </c>
    </row>
    <row r="327" spans="11:12" ht="13">
      <c r="K327" s="2">
        <v>1</v>
      </c>
      <c r="L327" s="2">
        <v>0</v>
      </c>
    </row>
    <row r="328" spans="11:12" ht="13">
      <c r="K328" s="2">
        <v>1</v>
      </c>
      <c r="L328" s="2">
        <v>0</v>
      </c>
    </row>
    <row r="329" spans="11:12" ht="13">
      <c r="K329" s="2">
        <v>1</v>
      </c>
      <c r="L329" s="2">
        <v>0</v>
      </c>
    </row>
    <row r="330" spans="11:12" ht="13">
      <c r="K330" s="2">
        <v>1</v>
      </c>
      <c r="L330" s="2">
        <v>0</v>
      </c>
    </row>
    <row r="331" spans="11:12" ht="13">
      <c r="K331" s="2">
        <v>1</v>
      </c>
      <c r="L331" s="2">
        <v>0</v>
      </c>
    </row>
    <row r="332" spans="11:12" ht="13">
      <c r="K332" s="2">
        <v>1</v>
      </c>
      <c r="L332" s="2">
        <v>0</v>
      </c>
    </row>
    <row r="333" spans="11:12" ht="13">
      <c r="K333" s="2">
        <v>1</v>
      </c>
      <c r="L333" s="2">
        <v>0</v>
      </c>
    </row>
    <row r="334" spans="11:12" ht="13">
      <c r="K334" s="2">
        <v>1</v>
      </c>
      <c r="L334" s="2">
        <v>0</v>
      </c>
    </row>
    <row r="335" spans="11:12" ht="13">
      <c r="K335" s="2">
        <v>1</v>
      </c>
      <c r="L335" s="2">
        <v>0</v>
      </c>
    </row>
    <row r="336" spans="11:12" ht="13">
      <c r="K336" s="2">
        <v>0</v>
      </c>
      <c r="L336" s="2">
        <v>2</v>
      </c>
    </row>
    <row r="337" spans="11:14" ht="13">
      <c r="K337" s="2">
        <v>1</v>
      </c>
      <c r="L337" s="2">
        <v>0</v>
      </c>
    </row>
    <row r="338" spans="11:14" ht="13">
      <c r="K338" s="2">
        <v>1</v>
      </c>
      <c r="L338" s="2">
        <v>0</v>
      </c>
    </row>
    <row r="339" spans="11:14" ht="13">
      <c r="K339" s="2">
        <v>1</v>
      </c>
      <c r="L339" s="2">
        <v>0</v>
      </c>
    </row>
    <row r="340" spans="11:14" ht="13">
      <c r="K340" s="2">
        <v>1</v>
      </c>
      <c r="L340" s="2">
        <v>0</v>
      </c>
    </row>
    <row r="341" spans="11:14" ht="13">
      <c r="K341" s="2">
        <v>1</v>
      </c>
      <c r="L341" s="2">
        <v>0</v>
      </c>
    </row>
    <row r="342" spans="11:14" ht="13">
      <c r="K342" s="2">
        <v>1</v>
      </c>
      <c r="L342" s="2">
        <v>0</v>
      </c>
    </row>
    <row r="343" spans="11:14" ht="13">
      <c r="K343" s="2">
        <v>1</v>
      </c>
      <c r="L343" s="2">
        <v>0</v>
      </c>
    </row>
    <row r="344" spans="11:14" ht="13">
      <c r="K344" s="2">
        <v>1</v>
      </c>
      <c r="L344" s="2">
        <v>0</v>
      </c>
    </row>
    <row r="345" spans="11:14" ht="13">
      <c r="K345" s="2">
        <v>1</v>
      </c>
      <c r="L345" s="2">
        <v>0</v>
      </c>
    </row>
    <row r="346" spans="11:14" ht="13">
      <c r="K346" s="2">
        <v>1</v>
      </c>
      <c r="L346" s="2">
        <v>0</v>
      </c>
    </row>
    <row r="347" spans="11:14" ht="13">
      <c r="K347" s="2">
        <v>1</v>
      </c>
      <c r="L347" s="2">
        <v>0</v>
      </c>
    </row>
    <row r="348" spans="11:14" ht="13">
      <c r="K348" s="2">
        <v>1</v>
      </c>
      <c r="L348" s="2">
        <v>0</v>
      </c>
      <c r="M348" s="2" t="s">
        <v>462</v>
      </c>
      <c r="N348" s="2" t="s">
        <v>459</v>
      </c>
    </row>
    <row r="349" spans="11:14" ht="13">
      <c r="K349" s="2">
        <f t="shared" ref="K349:L349" si="7">SUM(K2:K348)</f>
        <v>301</v>
      </c>
      <c r="L349" s="2">
        <f t="shared" si="7"/>
        <v>118</v>
      </c>
      <c r="M349" s="2">
        <f>SUM(K349:L349)</f>
        <v>419</v>
      </c>
      <c r="N349" s="2">
        <f>K349/M349*100</f>
        <v>71.837708830548934</v>
      </c>
    </row>
  </sheetData>
  <phoneticPr fontId="11"/>
  <conditionalFormatting sqref="F2:F35">
    <cfRule type="cellIs" dxfId="0" priority="1" operator="equal">
      <formula>"conflict"</formula>
    </cfRule>
  </conditionalFormatting>
  <dataValidations count="1">
    <dataValidation type="list" allowBlank="1" showErrorMessage="1" sqref="B2:E35 G2:H35" xr:uid="{00000000-0002-0000-0600-000000000000}">
      <formula1>"Layout Shifted,Layout Changed,Size of Page/Header Changed,Specific Items are Mis-aligned,Box Size Changed,New Contents,Contents Disappeared,Box Shape Changed,Box Disappeared,Border Disappeared,Wrong Border Thickness,New Buttons,New Border Appeared,Box Col"&amp;"or Changed,Text Color Changed,Border Color Changed,Text Disappeared,Contents of Text Changed,Text Size Changed,New Text,Undefined/Wrong State is Shown,Default State is Changed,No or Few Visual Diffrences Detected,Fragile Snapshot,Focus Does Not Work,Flack"&amp;"y Test,No Changes,Image Adjusted,Image Replaced,None,OutOfScope: Duplicates,OutOfScope: Cannot access,OutOfScope: Chromatic Error,OutOfScope: New Story,OutOfScope: Not VRT Discussion"</formula1>
    </dataValidation>
  </dataValidations>
  <hyperlinks>
    <hyperlink ref="A2" r:id="rId1" location="discussion_r1974730734" xr:uid="{00000000-0004-0000-0600-000000000000}"/>
    <hyperlink ref="A3" r:id="rId2" location="issuecomment-2738116384" xr:uid="{00000000-0004-0000-0600-000001000000}"/>
    <hyperlink ref="A4" r:id="rId3" location="issuecomment-2750462330" xr:uid="{00000000-0004-0000-0600-000002000000}"/>
    <hyperlink ref="A5" r:id="rId4" location="issuecomment-2730449028" xr:uid="{00000000-0004-0000-0600-000003000000}"/>
    <hyperlink ref="A6" r:id="rId5" location="discussion_r2006483914" xr:uid="{00000000-0004-0000-0600-000004000000}"/>
    <hyperlink ref="A7" r:id="rId6" location="discussion_r2008301713" xr:uid="{00000000-0004-0000-0600-000005000000}"/>
    <hyperlink ref="A8" r:id="rId7" location="discussion_r1977424201" xr:uid="{00000000-0004-0000-0600-000006000000}"/>
    <hyperlink ref="A9" r:id="rId8" location="issuecomment-2703653274" xr:uid="{00000000-0004-0000-0600-000007000000}"/>
    <hyperlink ref="A10" r:id="rId9" location="issuecomment-2693948041" xr:uid="{00000000-0004-0000-0600-000008000000}"/>
    <hyperlink ref="A11" r:id="rId10" location="issuecomment-2795597092" xr:uid="{00000000-0004-0000-0600-000009000000}"/>
    <hyperlink ref="A12" r:id="rId11" location="discussion_r2049478574" xr:uid="{00000000-0004-0000-0600-00000A000000}"/>
    <hyperlink ref="A13" r:id="rId12" location="issuecomment-2888992525" xr:uid="{00000000-0004-0000-0600-00000B000000}"/>
    <hyperlink ref="A14" r:id="rId13" location="issuecomment-2889053424" xr:uid="{00000000-0004-0000-0600-00000C000000}"/>
    <hyperlink ref="A15" r:id="rId14" location="issuecomment-2889218109" xr:uid="{00000000-0004-0000-0600-00000D000000}"/>
    <hyperlink ref="A16" r:id="rId15" location="issuecomment-2884484097" xr:uid="{00000000-0004-0000-0600-00000E000000}"/>
    <hyperlink ref="A17" r:id="rId16" location="discussion_r2096028845" xr:uid="{00000000-0004-0000-0600-00000F000000}"/>
    <hyperlink ref="A18" r:id="rId17" location="discussion_r2098766914" xr:uid="{00000000-0004-0000-0600-000010000000}"/>
    <hyperlink ref="A19" r:id="rId18" location="discussion_r2103548556" xr:uid="{00000000-0004-0000-0600-000011000000}"/>
    <hyperlink ref="A20" r:id="rId19" location="issuecomment-2887722760" xr:uid="{00000000-0004-0000-0600-000012000000}"/>
    <hyperlink ref="A21" r:id="rId20" location="issuecomment-3004356312" xr:uid="{00000000-0004-0000-0600-000013000000}"/>
    <hyperlink ref="A22" r:id="rId21" location="discussion_r2150341785" xr:uid="{00000000-0004-0000-0600-000014000000}"/>
    <hyperlink ref="A23" r:id="rId22" location="discussion_r2157012512" xr:uid="{00000000-0004-0000-0600-000015000000}"/>
    <hyperlink ref="A24" r:id="rId23" location="issuecomment-3134461611" xr:uid="{00000000-0004-0000-0600-000016000000}"/>
    <hyperlink ref="A25" r:id="rId24" location="issuecomment-3050388713" xr:uid="{00000000-0004-0000-0600-000017000000}"/>
    <hyperlink ref="A26" r:id="rId25" location="discussion_r2226684249" xr:uid="{00000000-0004-0000-0600-000018000000}"/>
    <hyperlink ref="A27" r:id="rId26" location="issuecomment-3037435884" xr:uid="{00000000-0004-0000-0600-000019000000}"/>
    <hyperlink ref="A28" r:id="rId27" location="issuecomment-3104643517" xr:uid="{00000000-0004-0000-0600-00001A000000}"/>
    <hyperlink ref="A29" r:id="rId28" location="discussion_r2294739847" xr:uid="{00000000-0004-0000-0600-00001B000000}"/>
    <hyperlink ref="A30" r:id="rId29" location="discussion_r2279534507" xr:uid="{00000000-0004-0000-0600-00001C000000}"/>
    <hyperlink ref="A31" r:id="rId30" location="discussion_r2380229424" xr:uid="{00000000-0004-0000-0600-00001D000000}"/>
    <hyperlink ref="A32" r:id="rId31" location="issuecomment-3314117225" xr:uid="{00000000-0004-0000-0600-00001E000000}"/>
    <hyperlink ref="A33" r:id="rId32" location="issuecomment-3274242189" xr:uid="{00000000-0004-0000-0600-00001F000000}"/>
    <hyperlink ref="A34" r:id="rId33" location="discussion_r2349918819" xr:uid="{00000000-0004-0000-0600-000020000000}"/>
    <hyperlink ref="A35" r:id="rId34" location="discussion_r2353846205" xr:uid="{00000000-0004-0000-0600-000021000000}"/>
    <hyperlink ref="C41" r:id="rId35" location="issuecomment-2670908811" xr:uid="{00000000-0004-0000-0600-000022000000}"/>
    <hyperlink ref="F41" r:id="rId36" location="discussion_r1974730734" xr:uid="{00000000-0004-0000-0600-000023000000}"/>
    <hyperlink ref="G41" r:id="rId37" location="discussion_r1974730734" xr:uid="{00000000-0004-0000-0600-000024000000}"/>
    <hyperlink ref="C42" r:id="rId38" location="discussion_r1974730734" xr:uid="{00000000-0004-0000-0600-000025000000}"/>
    <hyperlink ref="F42" r:id="rId39" location="issuecomment-2738116384" xr:uid="{00000000-0004-0000-0600-000026000000}"/>
    <hyperlink ref="G42" r:id="rId40" location="issuecomment-2738116384" xr:uid="{00000000-0004-0000-0600-000027000000}"/>
    <hyperlink ref="C43" r:id="rId41" location="issuecomment-2668874799" xr:uid="{00000000-0004-0000-0600-000028000000}"/>
    <hyperlink ref="F43" r:id="rId42" location="issuecomment-2750462330" xr:uid="{00000000-0004-0000-0600-000029000000}"/>
    <hyperlink ref="G43" r:id="rId43" location="issuecomment-2750462330" xr:uid="{00000000-0004-0000-0600-00002A000000}"/>
    <hyperlink ref="C44" r:id="rId44" location="issuecomment-2738116384" xr:uid="{00000000-0004-0000-0600-00002B000000}"/>
    <hyperlink ref="F44" r:id="rId45" location="issuecomment-2730449028" xr:uid="{00000000-0004-0000-0600-00002C000000}"/>
    <hyperlink ref="G44" r:id="rId46" location="issuecomment-2730449028" xr:uid="{00000000-0004-0000-0600-00002D000000}"/>
    <hyperlink ref="C45" r:id="rId47" location="issuecomment-2750462330" xr:uid="{00000000-0004-0000-0600-00002E000000}"/>
    <hyperlink ref="F45" r:id="rId48" location="discussion_r2006483914" xr:uid="{00000000-0004-0000-0600-00002F000000}"/>
    <hyperlink ref="G45" r:id="rId49" location="discussion_r2006483914" xr:uid="{00000000-0004-0000-0600-000030000000}"/>
    <hyperlink ref="C46" r:id="rId50" location="issuecomment-2730449028" xr:uid="{00000000-0004-0000-0600-000031000000}"/>
    <hyperlink ref="F46" r:id="rId51" location="discussion_r2008301713" xr:uid="{00000000-0004-0000-0600-000032000000}"/>
    <hyperlink ref="G46" r:id="rId52" location="discussion_r2008301713" xr:uid="{00000000-0004-0000-0600-000033000000}"/>
    <hyperlink ref="C47" r:id="rId53" location="discussion_r2006483914" xr:uid="{00000000-0004-0000-0600-000034000000}"/>
    <hyperlink ref="F47" r:id="rId54" location="discussion_r1977424201" xr:uid="{00000000-0004-0000-0600-000035000000}"/>
    <hyperlink ref="G47" r:id="rId55" location="discussion_r1977424201" xr:uid="{00000000-0004-0000-0600-000036000000}"/>
    <hyperlink ref="C48" r:id="rId56" location="discussion_r2008301713" xr:uid="{00000000-0004-0000-0600-000037000000}"/>
    <hyperlink ref="F48" r:id="rId57" location="issuecomment-2703653274" xr:uid="{00000000-0004-0000-0600-000038000000}"/>
    <hyperlink ref="G48" r:id="rId58" location="issuecomment-2703653274" xr:uid="{00000000-0004-0000-0600-000039000000}"/>
    <hyperlink ref="C49" r:id="rId59" location="discussion_r1977424201" xr:uid="{00000000-0004-0000-0600-00003A000000}"/>
    <hyperlink ref="F49" r:id="rId60" location="issuecomment-2693948041" xr:uid="{00000000-0004-0000-0600-00003B000000}"/>
    <hyperlink ref="G49" r:id="rId61" location="issuecomment-2693948041" xr:uid="{00000000-0004-0000-0600-00003C000000}"/>
    <hyperlink ref="C50" r:id="rId62" location="issuecomment-2703653274" xr:uid="{00000000-0004-0000-0600-00003D000000}"/>
    <hyperlink ref="F50" r:id="rId63" location="issuecomment-2795597092" xr:uid="{00000000-0004-0000-0600-00003E000000}"/>
    <hyperlink ref="G50" r:id="rId64" location="issuecomment-2795597092" xr:uid="{00000000-0004-0000-0600-00003F000000}"/>
    <hyperlink ref="C51" r:id="rId65" location="issuecomment-2693948041" xr:uid="{00000000-0004-0000-0600-000040000000}"/>
    <hyperlink ref="F51" r:id="rId66" location="discussion_r2049478574" xr:uid="{00000000-0004-0000-0600-000041000000}"/>
    <hyperlink ref="G51" r:id="rId67" location="discussion_r2049478574" xr:uid="{00000000-0004-0000-0600-000042000000}"/>
    <hyperlink ref="C52" r:id="rId68" location="issuecomment-2795597092" xr:uid="{00000000-0004-0000-0600-000043000000}"/>
    <hyperlink ref="F52" r:id="rId69" location="issuecomment-2888992525" xr:uid="{00000000-0004-0000-0600-000044000000}"/>
    <hyperlink ref="G52" r:id="rId70" location="issuecomment-2888992525" xr:uid="{00000000-0004-0000-0600-000045000000}"/>
    <hyperlink ref="C53" r:id="rId71" location="discussion_r2049478574" xr:uid="{00000000-0004-0000-0600-000046000000}"/>
    <hyperlink ref="F53" r:id="rId72" location="issuecomment-2889053424" xr:uid="{00000000-0004-0000-0600-000047000000}"/>
    <hyperlink ref="G53" r:id="rId73" location="issuecomment-2889053424" xr:uid="{00000000-0004-0000-0600-000048000000}"/>
    <hyperlink ref="C54" r:id="rId74" location="issuecomment-2888992525" xr:uid="{00000000-0004-0000-0600-000049000000}"/>
    <hyperlink ref="F54" r:id="rId75" location="issuecomment-2889218109" xr:uid="{00000000-0004-0000-0600-00004A000000}"/>
    <hyperlink ref="G54" r:id="rId76" location="issuecomment-2889218109" xr:uid="{00000000-0004-0000-0600-00004B000000}"/>
    <hyperlink ref="C55" r:id="rId77" location="issuecomment-2889053424" xr:uid="{00000000-0004-0000-0600-00004C000000}"/>
    <hyperlink ref="F55" r:id="rId78" location="issuecomment-2884484097" xr:uid="{00000000-0004-0000-0600-00004D000000}"/>
    <hyperlink ref="G55" r:id="rId79" location="issuecomment-2884484097" xr:uid="{00000000-0004-0000-0600-00004E000000}"/>
    <hyperlink ref="C56" r:id="rId80" location="issuecomment-2889218109" xr:uid="{00000000-0004-0000-0600-00004F000000}"/>
    <hyperlink ref="F56" r:id="rId81" location="discussion_r2096028845" xr:uid="{00000000-0004-0000-0600-000050000000}"/>
    <hyperlink ref="G56" r:id="rId82" location="discussion_r2096028845" xr:uid="{00000000-0004-0000-0600-000051000000}"/>
    <hyperlink ref="C57" r:id="rId83" location="issuecomment-2884484097" xr:uid="{00000000-0004-0000-0600-000052000000}"/>
    <hyperlink ref="F57" r:id="rId84" location="discussion_r2098766914" xr:uid="{00000000-0004-0000-0600-000053000000}"/>
    <hyperlink ref="G57" r:id="rId85" location="discussion_r2098766914" xr:uid="{00000000-0004-0000-0600-000054000000}"/>
    <hyperlink ref="C58" r:id="rId86" location="discussion_r2096028845" xr:uid="{00000000-0004-0000-0600-000055000000}"/>
    <hyperlink ref="F58" r:id="rId87" location="discussion_r2103548556" xr:uid="{00000000-0004-0000-0600-000056000000}"/>
    <hyperlink ref="G58" r:id="rId88" location="discussion_r2103548556" xr:uid="{00000000-0004-0000-0600-000057000000}"/>
    <hyperlink ref="C59" r:id="rId89" location="discussion_r2098766914" xr:uid="{00000000-0004-0000-0600-000058000000}"/>
    <hyperlink ref="F59" r:id="rId90" location="issuecomment-2887722760" xr:uid="{00000000-0004-0000-0600-000059000000}"/>
    <hyperlink ref="G59" r:id="rId91" location="issuecomment-2887722760" xr:uid="{00000000-0004-0000-0600-00005A000000}"/>
    <hyperlink ref="C60" r:id="rId92" location="discussion_r2103548556" xr:uid="{00000000-0004-0000-0600-00005B000000}"/>
    <hyperlink ref="F60" r:id="rId93" location="issuecomment-3004356312" xr:uid="{00000000-0004-0000-0600-00005C000000}"/>
    <hyperlink ref="G60" r:id="rId94" location="issuecomment-3004356312" xr:uid="{00000000-0004-0000-0600-00005D000000}"/>
    <hyperlink ref="C61" r:id="rId95" location="issuecomment-2887722760" xr:uid="{00000000-0004-0000-0600-00005E000000}"/>
    <hyperlink ref="F61" r:id="rId96" location="discussion_r2150341785" xr:uid="{00000000-0004-0000-0600-00005F000000}"/>
    <hyperlink ref="G61" r:id="rId97" location="discussion_r2150341785" xr:uid="{00000000-0004-0000-0600-000060000000}"/>
    <hyperlink ref="C62" r:id="rId98" location="issuecomment-3004356312" xr:uid="{00000000-0004-0000-0600-000061000000}"/>
    <hyperlink ref="F62" r:id="rId99" location="discussion_r2157012512" xr:uid="{00000000-0004-0000-0600-000062000000}"/>
    <hyperlink ref="G62" r:id="rId100" location="discussion_r2157012512" xr:uid="{00000000-0004-0000-0600-000063000000}"/>
    <hyperlink ref="C63" r:id="rId101" location="discussion_r2150341785" xr:uid="{00000000-0004-0000-0600-000064000000}"/>
    <hyperlink ref="F63" r:id="rId102" location="issuecomment-3134461611" xr:uid="{00000000-0004-0000-0600-000065000000}"/>
    <hyperlink ref="G63" r:id="rId103" location="issuecomment-3134461611" xr:uid="{00000000-0004-0000-0600-000066000000}"/>
    <hyperlink ref="C64" r:id="rId104" location="discussion_r2157012512" xr:uid="{00000000-0004-0000-0600-000067000000}"/>
    <hyperlink ref="F64" r:id="rId105" location="issuecomment-3050388713" xr:uid="{00000000-0004-0000-0600-000068000000}"/>
    <hyperlink ref="G64" r:id="rId106" location="issuecomment-3050388713" xr:uid="{00000000-0004-0000-0600-000069000000}"/>
    <hyperlink ref="C65" r:id="rId107" location="issuecomment-3134461611" xr:uid="{00000000-0004-0000-0600-00006A000000}"/>
    <hyperlink ref="F65" r:id="rId108" location="discussion_r2226684249" xr:uid="{00000000-0004-0000-0600-00006B000000}"/>
    <hyperlink ref="G65" r:id="rId109" location="discussion_r2226684249" xr:uid="{00000000-0004-0000-0600-00006C000000}"/>
    <hyperlink ref="C66" r:id="rId110" location="issuecomment-3050388713" xr:uid="{00000000-0004-0000-0600-00006D000000}"/>
    <hyperlink ref="F66" r:id="rId111" location="issuecomment-3037435884" xr:uid="{00000000-0004-0000-0600-00006E000000}"/>
    <hyperlink ref="G66" r:id="rId112" location="issuecomment-3037435884" xr:uid="{00000000-0004-0000-0600-00006F000000}"/>
    <hyperlink ref="C67" r:id="rId113" location="discussion_r2226684249" xr:uid="{00000000-0004-0000-0600-000070000000}"/>
    <hyperlink ref="F67" r:id="rId114" location="issuecomment-3104643517" xr:uid="{00000000-0004-0000-0600-000071000000}"/>
    <hyperlink ref="G67" r:id="rId115" location="issuecomment-3104643517" xr:uid="{00000000-0004-0000-0600-000072000000}"/>
    <hyperlink ref="C68" r:id="rId116" location="issuecomment-3037435884" xr:uid="{00000000-0004-0000-0600-000073000000}"/>
    <hyperlink ref="F68" r:id="rId117" location="discussion_r2294739847" xr:uid="{00000000-0004-0000-0600-000074000000}"/>
    <hyperlink ref="G68" r:id="rId118" location="discussion_r2294739847" xr:uid="{00000000-0004-0000-0600-000075000000}"/>
    <hyperlink ref="C69" r:id="rId119" location="issuecomment-3104643517" xr:uid="{00000000-0004-0000-0600-000076000000}"/>
    <hyperlink ref="F69" r:id="rId120" location="discussion_r2279534507" xr:uid="{00000000-0004-0000-0600-000077000000}"/>
    <hyperlink ref="G69" r:id="rId121" location="discussion_r2279534507" xr:uid="{00000000-0004-0000-0600-000078000000}"/>
    <hyperlink ref="C70" r:id="rId122" location="discussion_r2294739847" xr:uid="{00000000-0004-0000-0600-000079000000}"/>
    <hyperlink ref="F70" r:id="rId123" location="discussion_r2380229424" xr:uid="{00000000-0004-0000-0600-00007A000000}"/>
    <hyperlink ref="G70" r:id="rId124" location="discussion_r2380229424" xr:uid="{00000000-0004-0000-0600-00007B000000}"/>
    <hyperlink ref="C71" r:id="rId125" location="discussion_r2279534507" xr:uid="{00000000-0004-0000-0600-00007C000000}"/>
    <hyperlink ref="F71" r:id="rId126" location="issuecomment-3314117225" xr:uid="{00000000-0004-0000-0600-00007D000000}"/>
    <hyperlink ref="G71" r:id="rId127" location="issuecomment-3314117225" xr:uid="{00000000-0004-0000-0600-00007E000000}"/>
    <hyperlink ref="C72" r:id="rId128" location="discussion_r2380229424" xr:uid="{00000000-0004-0000-0600-00007F000000}"/>
    <hyperlink ref="F72" r:id="rId129" location="issuecomment-3274242189" xr:uid="{00000000-0004-0000-0600-000080000000}"/>
    <hyperlink ref="G72" r:id="rId130" location="issuecomment-3274242189" xr:uid="{00000000-0004-0000-0600-000081000000}"/>
    <hyperlink ref="C73" r:id="rId131" location="issuecomment-3314117225" xr:uid="{00000000-0004-0000-0600-000082000000}"/>
    <hyperlink ref="F73" r:id="rId132" location="discussion_r2349918819" xr:uid="{00000000-0004-0000-0600-000083000000}"/>
    <hyperlink ref="G73" r:id="rId133" location="discussion_r2349918819" xr:uid="{00000000-0004-0000-0600-000084000000}"/>
    <hyperlink ref="C74" r:id="rId134" location="issuecomment-3274242189" xr:uid="{00000000-0004-0000-0600-000085000000}"/>
    <hyperlink ref="F74" r:id="rId135" location="discussion_r2353846205" xr:uid="{00000000-0004-0000-0600-000086000000}"/>
    <hyperlink ref="G74" r:id="rId136" location="discussion_r2353846205" xr:uid="{00000000-0004-0000-0600-000087000000}"/>
    <hyperlink ref="C75" r:id="rId137" location="discussion_r2349918819" xr:uid="{00000000-0004-0000-0600-000088000000}"/>
    <hyperlink ref="C76" r:id="rId138" location="discussion_r2353846205" xr:uid="{00000000-0004-0000-0600-000089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37"/>
  <sheetViews>
    <sheetView workbookViewId="0"/>
  </sheetViews>
  <sheetFormatPr baseColWidth="10" defaultColWidth="12.6640625" defaultRowHeight="15.75" customHeight="1"/>
  <cols>
    <col min="1" max="1" width="73.33203125" customWidth="1"/>
    <col min="2" max="2" width="39.33203125" customWidth="1"/>
  </cols>
  <sheetData>
    <row r="1" spans="1:2" ht="15.75" customHeight="1">
      <c r="A1" s="2" t="s">
        <v>415</v>
      </c>
      <c r="B1" s="2" t="s">
        <v>414</v>
      </c>
    </row>
    <row r="2" spans="1:2" ht="15.75" customHeight="1">
      <c r="A2" s="9" t="s">
        <v>191</v>
      </c>
      <c r="B2" s="2"/>
    </row>
    <row r="3" spans="1:2" ht="15.75" customHeight="1">
      <c r="A3" s="9" t="s">
        <v>345</v>
      </c>
      <c r="B3" s="2"/>
    </row>
    <row r="4" spans="1:2" ht="15.75" customHeight="1">
      <c r="A4" s="9" t="s">
        <v>192</v>
      </c>
      <c r="B4" s="2"/>
    </row>
    <row r="5" spans="1:2" ht="15.75" customHeight="1">
      <c r="A5" s="9" t="s">
        <v>346</v>
      </c>
      <c r="B5" s="2"/>
    </row>
    <row r="6" spans="1:2" ht="15.75" customHeight="1">
      <c r="A6" s="9" t="s">
        <v>347</v>
      </c>
      <c r="B6" s="2"/>
    </row>
    <row r="7" spans="1:2" ht="15.75" customHeight="1">
      <c r="A7" s="9" t="s">
        <v>348</v>
      </c>
      <c r="B7" s="2"/>
    </row>
    <row r="8" spans="1:2" ht="15.75" customHeight="1">
      <c r="A8" s="9" t="s">
        <v>349</v>
      </c>
      <c r="B8" s="2"/>
    </row>
    <row r="9" spans="1:2" ht="15.75" customHeight="1">
      <c r="A9" s="9" t="s">
        <v>350</v>
      </c>
      <c r="B9" s="2"/>
    </row>
    <row r="10" spans="1:2" ht="15.75" customHeight="1">
      <c r="A10" s="9" t="s">
        <v>351</v>
      </c>
      <c r="B10" s="2"/>
    </row>
    <row r="11" spans="1:2" ht="15.75" customHeight="1">
      <c r="A11" s="9" t="s">
        <v>352</v>
      </c>
      <c r="B11" s="2"/>
    </row>
    <row r="12" spans="1:2" ht="15.75" customHeight="1">
      <c r="A12" s="9" t="s">
        <v>353</v>
      </c>
      <c r="B12" s="2"/>
    </row>
    <row r="13" spans="1:2" ht="15.75" customHeight="1">
      <c r="A13" s="9" t="s">
        <v>354</v>
      </c>
      <c r="B13" s="2"/>
    </row>
    <row r="14" spans="1:2" ht="15.75" customHeight="1">
      <c r="A14" s="9" t="s">
        <v>355</v>
      </c>
      <c r="B14" s="2"/>
    </row>
    <row r="15" spans="1:2" ht="15.75" customHeight="1">
      <c r="A15" s="9" t="s">
        <v>356</v>
      </c>
      <c r="B15" s="2"/>
    </row>
    <row r="16" spans="1:2" ht="15.75" customHeight="1">
      <c r="A16" s="9" t="s">
        <v>357</v>
      </c>
      <c r="B16" s="2"/>
    </row>
    <row r="17" spans="1:2" ht="15.75" customHeight="1">
      <c r="A17" s="9" t="s">
        <v>358</v>
      </c>
      <c r="B17" s="2"/>
    </row>
    <row r="18" spans="1:2" ht="15.75" customHeight="1">
      <c r="A18" s="9" t="s">
        <v>359</v>
      </c>
      <c r="B18" s="2"/>
    </row>
    <row r="19" spans="1:2" ht="15.75" customHeight="1">
      <c r="A19" s="9" t="s">
        <v>360</v>
      </c>
      <c r="B19" s="2"/>
    </row>
    <row r="20" spans="1:2" ht="15.75" customHeight="1">
      <c r="A20" s="9" t="s">
        <v>361</v>
      </c>
      <c r="B20" s="2"/>
    </row>
    <row r="21" spans="1:2" ht="15.75" customHeight="1">
      <c r="A21" s="9" t="s">
        <v>362</v>
      </c>
      <c r="B21" s="2"/>
    </row>
    <row r="22" spans="1:2" ht="15.75" customHeight="1">
      <c r="A22" s="9" t="s">
        <v>363</v>
      </c>
      <c r="B22" s="2"/>
    </row>
    <row r="23" spans="1:2" ht="15.75" customHeight="1">
      <c r="A23" s="9" t="s">
        <v>364</v>
      </c>
      <c r="B23" s="2"/>
    </row>
    <row r="24" spans="1:2" ht="15.75" customHeight="1">
      <c r="A24" s="9" t="s">
        <v>365</v>
      </c>
      <c r="B24" s="2"/>
    </row>
    <row r="25" spans="1:2" ht="15.75" customHeight="1">
      <c r="A25" s="9" t="s">
        <v>366</v>
      </c>
      <c r="B25" s="2"/>
    </row>
    <row r="26" spans="1:2" ht="15.75" customHeight="1">
      <c r="A26" s="9" t="s">
        <v>367</v>
      </c>
      <c r="B26" s="2"/>
    </row>
    <row r="27" spans="1:2" ht="15.75" customHeight="1">
      <c r="A27" s="9" t="s">
        <v>368</v>
      </c>
      <c r="B27" s="2"/>
    </row>
    <row r="28" spans="1:2" ht="15.75" customHeight="1">
      <c r="A28" s="9" t="s">
        <v>369</v>
      </c>
      <c r="B28" s="2"/>
    </row>
    <row r="29" spans="1:2" ht="15.75" customHeight="1">
      <c r="A29" s="9" t="s">
        <v>370</v>
      </c>
      <c r="B29" s="2"/>
    </row>
    <row r="30" spans="1:2" ht="15.75" customHeight="1">
      <c r="A30" s="9" t="s">
        <v>371</v>
      </c>
      <c r="B30" s="2"/>
    </row>
    <row r="31" spans="1:2" ht="15.75" customHeight="1">
      <c r="A31" s="9" t="s">
        <v>372</v>
      </c>
      <c r="B31" s="2"/>
    </row>
    <row r="32" spans="1:2" ht="15.75" customHeight="1">
      <c r="A32" s="9" t="s">
        <v>373</v>
      </c>
      <c r="B32" s="2"/>
    </row>
    <row r="33" spans="1:2" ht="15.75" customHeight="1">
      <c r="A33" s="9" t="s">
        <v>374</v>
      </c>
      <c r="B33" s="2"/>
    </row>
    <row r="34" spans="1:2" ht="15.75" customHeight="1">
      <c r="A34" s="9" t="s">
        <v>375</v>
      </c>
      <c r="B34" s="2"/>
    </row>
    <row r="35" spans="1:2" ht="15.75" customHeight="1">
      <c r="A35" s="9" t="s">
        <v>376</v>
      </c>
      <c r="B35" s="2"/>
    </row>
    <row r="36" spans="1:2" ht="15.75" customHeight="1">
      <c r="A36" s="9" t="s">
        <v>377</v>
      </c>
      <c r="B36" s="2"/>
    </row>
    <row r="37" spans="1:2" ht="15.75" customHeight="1">
      <c r="A37" s="9" t="s">
        <v>378</v>
      </c>
      <c r="B37" s="2"/>
    </row>
  </sheetData>
  <phoneticPr fontId="11"/>
  <dataValidations count="1">
    <dataValidation type="list" allowBlank="1" showErrorMessage="1" sqref="B2:B37" xr:uid="{00000000-0002-0000-0700-000000000000}">
      <formula1>"Layout Shifted,Layout Changed,Size of Page/Header Changed,Specific Items are Mis-aligned,Box Size Changed,New Contents,Contents Disappeared,Box Shape Changed,Box Disappeared,Border Disappeared,Wrong Border Thickness,New Buttons,New Border Appeared,Box Col"&amp;"or Changed,Text Color Changed,Border Color Changed,Text Disappeared,Contents of Text Changed,Text Size Changed,New Text,Undefined/Wrong State is Shown,Default State is Changed,No or Few Visual Diffrences Detected,Fragile Snapshot,Focus Does Not Work,Flack"&amp;"y Test,No Changes,Image Adjusted,Image Replaced"</formula1>
    </dataValidation>
  </dataValidations>
  <hyperlinks>
    <hyperlink ref="A2" r:id="rId1" location="issuecomment-2670908811" xr:uid="{00000000-0004-0000-0700-000000000000}"/>
    <hyperlink ref="A3" r:id="rId2" location="discussion_r1974730734" xr:uid="{00000000-0004-0000-0700-000001000000}"/>
    <hyperlink ref="A4" r:id="rId3" location="issuecomment-2668874799" xr:uid="{00000000-0004-0000-0700-000002000000}"/>
    <hyperlink ref="A5" r:id="rId4" location="issuecomment-2738116384" xr:uid="{00000000-0004-0000-0700-000003000000}"/>
    <hyperlink ref="A6" r:id="rId5" location="issuecomment-2750462330" xr:uid="{00000000-0004-0000-0700-000004000000}"/>
    <hyperlink ref="A7" r:id="rId6" location="issuecomment-2730449028" xr:uid="{00000000-0004-0000-0700-000005000000}"/>
    <hyperlink ref="A8" r:id="rId7" location="discussion_r2006483914" xr:uid="{00000000-0004-0000-0700-000006000000}"/>
    <hyperlink ref="A9" r:id="rId8" location="discussion_r2008301713" xr:uid="{00000000-0004-0000-0700-000007000000}"/>
    <hyperlink ref="A10" r:id="rId9" location="discussion_r1977424201" xr:uid="{00000000-0004-0000-0700-000008000000}"/>
    <hyperlink ref="A11" r:id="rId10" location="issuecomment-2703653274" xr:uid="{00000000-0004-0000-0700-000009000000}"/>
    <hyperlink ref="A12" r:id="rId11" location="issuecomment-2693948041" xr:uid="{00000000-0004-0000-0700-00000A000000}"/>
    <hyperlink ref="A13" r:id="rId12" location="issuecomment-2795597092" xr:uid="{00000000-0004-0000-0700-00000B000000}"/>
    <hyperlink ref="A14" r:id="rId13" location="discussion_r2049478574" xr:uid="{00000000-0004-0000-0700-00000C000000}"/>
    <hyperlink ref="A15" r:id="rId14" location="issuecomment-2888992525" xr:uid="{00000000-0004-0000-0700-00000D000000}"/>
    <hyperlink ref="A16" r:id="rId15" location="issuecomment-2889053424" xr:uid="{00000000-0004-0000-0700-00000E000000}"/>
    <hyperlink ref="A17" r:id="rId16" location="issuecomment-2889218109" xr:uid="{00000000-0004-0000-0700-00000F000000}"/>
    <hyperlink ref="A18" r:id="rId17" location="issuecomment-2884484097" xr:uid="{00000000-0004-0000-0700-000010000000}"/>
    <hyperlink ref="A19" r:id="rId18" location="discussion_r2096028845" xr:uid="{00000000-0004-0000-0700-000011000000}"/>
    <hyperlink ref="A20" r:id="rId19" location="discussion_r2098766914" xr:uid="{00000000-0004-0000-0700-000012000000}"/>
    <hyperlink ref="A21" r:id="rId20" location="discussion_r2103548556" xr:uid="{00000000-0004-0000-0700-000013000000}"/>
    <hyperlink ref="A22" r:id="rId21" location="issuecomment-2887722760" xr:uid="{00000000-0004-0000-0700-000014000000}"/>
    <hyperlink ref="A23" r:id="rId22" location="issuecomment-3004356312" xr:uid="{00000000-0004-0000-0700-000015000000}"/>
    <hyperlink ref="A24" r:id="rId23" location="discussion_r2150341785" xr:uid="{00000000-0004-0000-0700-000016000000}"/>
    <hyperlink ref="A25" r:id="rId24" location="discussion_r2157012512" xr:uid="{00000000-0004-0000-0700-000017000000}"/>
    <hyperlink ref="A26" r:id="rId25" location="issuecomment-3134461611" xr:uid="{00000000-0004-0000-0700-000018000000}"/>
    <hyperlink ref="A27" r:id="rId26" location="issuecomment-3050388713" xr:uid="{00000000-0004-0000-0700-000019000000}"/>
    <hyperlink ref="A28" r:id="rId27" location="discussion_r2226684249" xr:uid="{00000000-0004-0000-0700-00001A000000}"/>
    <hyperlink ref="A29" r:id="rId28" location="issuecomment-3037435884" xr:uid="{00000000-0004-0000-0700-00001B000000}"/>
    <hyperlink ref="A30" r:id="rId29" location="issuecomment-3104643517" xr:uid="{00000000-0004-0000-0700-00001C000000}"/>
    <hyperlink ref="A31" r:id="rId30" location="discussion_r2294739847" xr:uid="{00000000-0004-0000-0700-00001D000000}"/>
    <hyperlink ref="A32" r:id="rId31" location="discussion_r2279534507" xr:uid="{00000000-0004-0000-0700-00001E000000}"/>
    <hyperlink ref="A33" r:id="rId32" location="discussion_r2380229424" xr:uid="{00000000-0004-0000-0700-00001F000000}"/>
    <hyperlink ref="A34" r:id="rId33" location="issuecomment-3314117225" xr:uid="{00000000-0004-0000-0700-000020000000}"/>
    <hyperlink ref="A35" r:id="rId34" location="issuecomment-3274242189" xr:uid="{00000000-0004-0000-0700-000021000000}"/>
    <hyperlink ref="A36" r:id="rId35" location="discussion_r2349918819" xr:uid="{00000000-0004-0000-0700-000022000000}"/>
    <hyperlink ref="A37" r:id="rId36" location="discussion_r2353846205" xr:uid="{00000000-0004-0000-0700-000023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43"/>
  <sheetViews>
    <sheetView workbookViewId="0"/>
  </sheetViews>
  <sheetFormatPr baseColWidth="10" defaultColWidth="12.6640625" defaultRowHeight="15.75" customHeight="1"/>
  <cols>
    <col min="1" max="1" width="30.6640625" customWidth="1"/>
    <col min="3" max="3" width="21.1640625" customWidth="1"/>
  </cols>
  <sheetData>
    <row r="1" spans="1:4" ht="15.75" customHeight="1">
      <c r="A1" s="18" t="s">
        <v>1</v>
      </c>
      <c r="B1" s="18"/>
      <c r="C1" s="18" t="s">
        <v>439</v>
      </c>
      <c r="D1" s="18"/>
    </row>
    <row r="2" spans="1:4" ht="15.75" customHeight="1">
      <c r="A2" s="18" t="s">
        <v>14</v>
      </c>
      <c r="B2" s="18">
        <v>42</v>
      </c>
      <c r="C2" s="18" t="s">
        <v>440</v>
      </c>
      <c r="D2" s="18">
        <v>75</v>
      </c>
    </row>
    <row r="3" spans="1:4" ht="15.75" customHeight="1">
      <c r="A3" s="18" t="s">
        <v>23</v>
      </c>
      <c r="B3" s="18">
        <v>12</v>
      </c>
      <c r="C3" s="18" t="s">
        <v>441</v>
      </c>
      <c r="D3" s="18">
        <v>52</v>
      </c>
    </row>
    <row r="4" spans="1:4" ht="15.75" customHeight="1">
      <c r="A4" s="18" t="s">
        <v>7</v>
      </c>
      <c r="B4" s="18">
        <v>11</v>
      </c>
      <c r="C4" s="18" t="s">
        <v>442</v>
      </c>
      <c r="D4" s="18">
        <v>28</v>
      </c>
    </row>
    <row r="5" spans="1:4" ht="15.75" customHeight="1">
      <c r="A5" s="18" t="s">
        <v>130</v>
      </c>
      <c r="B5" s="18">
        <v>10</v>
      </c>
      <c r="C5" s="18" t="s">
        <v>443</v>
      </c>
      <c r="D5" s="18">
        <v>18</v>
      </c>
    </row>
    <row r="6" spans="1:4" ht="15.75" customHeight="1">
      <c r="A6" s="18" t="s">
        <v>51</v>
      </c>
      <c r="B6" s="18">
        <v>18</v>
      </c>
      <c r="C6" s="18" t="s">
        <v>444</v>
      </c>
      <c r="D6" s="18">
        <v>13</v>
      </c>
    </row>
    <row r="7" spans="1:4" ht="15.75" customHeight="1">
      <c r="A7" s="18" t="s">
        <v>27</v>
      </c>
      <c r="B7" s="18">
        <v>10</v>
      </c>
      <c r="C7" s="18" t="s">
        <v>445</v>
      </c>
      <c r="D7" s="18">
        <v>12</v>
      </c>
    </row>
    <row r="8" spans="1:4" ht="15.75" customHeight="1">
      <c r="A8" s="18" t="s">
        <v>43</v>
      </c>
      <c r="B8" s="18">
        <v>6</v>
      </c>
      <c r="C8" s="18" t="s">
        <v>446</v>
      </c>
      <c r="D8" s="18">
        <v>8</v>
      </c>
    </row>
    <row r="9" spans="1:4" ht="15.75" customHeight="1">
      <c r="A9" s="18" t="s">
        <v>179</v>
      </c>
      <c r="B9" s="18">
        <v>6</v>
      </c>
      <c r="C9" s="18"/>
      <c r="D9" s="18"/>
    </row>
    <row r="10" spans="1:4" ht="15.75" customHeight="1">
      <c r="A10" s="18" t="s">
        <v>197</v>
      </c>
      <c r="B10" s="18">
        <v>4</v>
      </c>
      <c r="C10" s="18" t="s">
        <v>447</v>
      </c>
      <c r="D10" s="18">
        <v>206</v>
      </c>
    </row>
    <row r="11" spans="1:4" ht="15.75" customHeight="1">
      <c r="A11" s="18" t="s">
        <v>18</v>
      </c>
      <c r="B11" s="18">
        <v>3</v>
      </c>
      <c r="C11" s="18" t="s">
        <v>468</v>
      </c>
      <c r="D11" s="18">
        <v>155</v>
      </c>
    </row>
    <row r="12" spans="1:4" ht="15.75" customHeight="1">
      <c r="A12" s="18" t="s">
        <v>94</v>
      </c>
      <c r="B12" s="18">
        <v>2</v>
      </c>
      <c r="C12" s="18" t="s">
        <v>448</v>
      </c>
      <c r="D12" s="18">
        <v>361</v>
      </c>
    </row>
    <row r="13" spans="1:4" ht="15.75" customHeight="1">
      <c r="A13" s="18" t="s">
        <v>148</v>
      </c>
      <c r="B13" s="18">
        <v>2</v>
      </c>
      <c r="C13" s="18"/>
      <c r="D13" s="18"/>
    </row>
    <row r="14" spans="1:4" ht="15.75" customHeight="1">
      <c r="A14" s="18" t="s">
        <v>97</v>
      </c>
      <c r="B14" s="18">
        <v>1</v>
      </c>
      <c r="C14" s="18"/>
      <c r="D14" s="18"/>
    </row>
    <row r="15" spans="1:4" ht="15.75" customHeight="1">
      <c r="A15" s="18" t="s">
        <v>45</v>
      </c>
      <c r="B15" s="18">
        <v>16</v>
      </c>
      <c r="C15" s="18"/>
      <c r="D15" s="18"/>
    </row>
    <row r="16" spans="1:4" ht="15.75" customHeight="1">
      <c r="A16" s="18" t="s">
        <v>63</v>
      </c>
      <c r="B16" s="18">
        <v>8</v>
      </c>
      <c r="C16" s="18"/>
      <c r="D16" s="18"/>
    </row>
    <row r="17" spans="1:4" ht="15.75" customHeight="1">
      <c r="A17" s="18" t="s">
        <v>134</v>
      </c>
      <c r="B17" s="18">
        <v>4</v>
      </c>
      <c r="C17" s="18"/>
      <c r="D17" s="18"/>
    </row>
    <row r="18" spans="1:4" ht="15.75" customHeight="1">
      <c r="A18" s="18" t="s">
        <v>26</v>
      </c>
      <c r="B18" s="18">
        <v>7</v>
      </c>
      <c r="C18" s="18"/>
      <c r="D18" s="18"/>
    </row>
    <row r="19" spans="1:4" ht="15.75" customHeight="1">
      <c r="A19" s="18" t="s">
        <v>75</v>
      </c>
      <c r="B19" s="18">
        <v>5</v>
      </c>
      <c r="C19" s="18"/>
      <c r="D19" s="18"/>
    </row>
    <row r="20" spans="1:4" ht="15.75" customHeight="1">
      <c r="A20" s="18" t="s">
        <v>11</v>
      </c>
      <c r="B20" s="18">
        <v>3</v>
      </c>
      <c r="C20" s="18"/>
      <c r="D20" s="18"/>
    </row>
    <row r="21" spans="1:4" ht="15.75" customHeight="1">
      <c r="A21" s="18" t="s">
        <v>121</v>
      </c>
      <c r="B21" s="18">
        <v>3</v>
      </c>
      <c r="C21" s="18"/>
      <c r="D21" s="18"/>
    </row>
    <row r="22" spans="1:4" ht="15.75" customHeight="1">
      <c r="A22" s="18" t="s">
        <v>31</v>
      </c>
      <c r="B22" s="18">
        <v>8</v>
      </c>
      <c r="C22" s="18"/>
      <c r="D22" s="18"/>
    </row>
    <row r="23" spans="1:4" ht="15.75" customHeight="1">
      <c r="A23" s="18" t="s">
        <v>34</v>
      </c>
      <c r="B23" s="18">
        <v>5</v>
      </c>
      <c r="C23" s="18"/>
      <c r="D23" s="18"/>
    </row>
    <row r="24" spans="1:4" ht="15.75" customHeight="1">
      <c r="A24" s="18" t="s">
        <v>160</v>
      </c>
      <c r="B24" s="18">
        <v>5</v>
      </c>
      <c r="C24" s="18"/>
      <c r="D24" s="18"/>
    </row>
    <row r="25" spans="1:4" ht="15.75" customHeight="1">
      <c r="A25" s="18" t="s">
        <v>239</v>
      </c>
      <c r="B25" s="18">
        <v>3</v>
      </c>
      <c r="C25" s="18"/>
      <c r="D25" s="18"/>
    </row>
    <row r="26" spans="1:4" ht="15.75" customHeight="1">
      <c r="A26" s="18" t="s">
        <v>3</v>
      </c>
      <c r="B26" s="18">
        <v>2</v>
      </c>
      <c r="C26" s="18"/>
      <c r="D26" s="18"/>
    </row>
    <row r="27" spans="1:4" ht="15.75" customHeight="1">
      <c r="A27" s="18" t="s">
        <v>153</v>
      </c>
      <c r="B27" s="18">
        <v>1</v>
      </c>
      <c r="C27" s="18"/>
      <c r="D27" s="18"/>
    </row>
    <row r="28" spans="1:4" ht="15.75" customHeight="1">
      <c r="A28" s="18" t="s">
        <v>195</v>
      </c>
      <c r="B28" s="18">
        <v>1</v>
      </c>
      <c r="C28" s="18"/>
      <c r="D28" s="18"/>
    </row>
    <row r="29" spans="1:4" ht="15.75" customHeight="1">
      <c r="A29" s="18" t="s">
        <v>85</v>
      </c>
      <c r="B29" s="18">
        <v>6</v>
      </c>
      <c r="C29" s="18"/>
      <c r="D29" s="18"/>
    </row>
    <row r="30" spans="1:4" ht="15.75" customHeight="1">
      <c r="A30" s="18" t="s">
        <v>22</v>
      </c>
      <c r="B30" s="18">
        <v>2</v>
      </c>
      <c r="C30" s="18"/>
      <c r="D30" s="18"/>
    </row>
    <row r="31" spans="1:4" ht="15.75" customHeight="1">
      <c r="A31" s="18" t="s">
        <v>70</v>
      </c>
      <c r="B31" s="18">
        <v>3</v>
      </c>
      <c r="C31" s="18"/>
      <c r="D31" s="18"/>
    </row>
    <row r="32" spans="1:4" ht="15.75" customHeight="1">
      <c r="A32" s="18" t="s">
        <v>5</v>
      </c>
      <c r="B32" s="18">
        <v>58</v>
      </c>
      <c r="C32" s="18"/>
      <c r="D32" s="18"/>
    </row>
    <row r="33" spans="1:4" ht="15.75" customHeight="1">
      <c r="A33" s="18" t="s">
        <v>9</v>
      </c>
      <c r="B33" s="18">
        <v>17</v>
      </c>
      <c r="C33" s="18"/>
      <c r="D33" s="18"/>
    </row>
    <row r="34" spans="1:4" ht="15.75" customHeight="1">
      <c r="A34" s="18" t="s">
        <v>91</v>
      </c>
      <c r="B34" s="18">
        <v>10</v>
      </c>
      <c r="C34" s="18"/>
      <c r="D34" s="18"/>
    </row>
    <row r="35" spans="1:4" ht="15.75" customHeight="1">
      <c r="A35" s="18" t="s">
        <v>20</v>
      </c>
      <c r="B35" s="18">
        <v>61</v>
      </c>
      <c r="C35" s="18"/>
      <c r="D35" s="18"/>
    </row>
    <row r="36" spans="1:4" ht="15.75" customHeight="1">
      <c r="A36" s="18" t="s">
        <v>53</v>
      </c>
      <c r="B36" s="18">
        <v>6</v>
      </c>
      <c r="C36" s="18"/>
      <c r="D36" s="18"/>
    </row>
    <row r="37" spans="1:4" ht="15.75" customHeight="1">
      <c r="A37" s="18"/>
      <c r="B37" s="18"/>
      <c r="C37" s="18"/>
      <c r="D37" s="18"/>
    </row>
    <row r="38" spans="1:4" ht="15.75" customHeight="1">
      <c r="A38" s="18" t="s">
        <v>449</v>
      </c>
      <c r="B38" s="18">
        <v>58</v>
      </c>
      <c r="C38" s="18"/>
      <c r="D38" s="18"/>
    </row>
    <row r="39" spans="1:4" ht="15.75" customHeight="1">
      <c r="A39" s="18" t="s">
        <v>450</v>
      </c>
      <c r="B39" s="18">
        <v>17</v>
      </c>
      <c r="C39" s="18"/>
      <c r="D39" s="18"/>
    </row>
    <row r="40" spans="1:4" ht="15.75" customHeight="1">
      <c r="A40" s="18" t="s">
        <v>451</v>
      </c>
      <c r="B40" s="18">
        <v>9</v>
      </c>
      <c r="C40" s="18"/>
      <c r="D40" s="18"/>
    </row>
    <row r="41" spans="1:4" ht="15.75" customHeight="1">
      <c r="A41" s="18" t="s">
        <v>452</v>
      </c>
      <c r="B41" s="18">
        <v>61</v>
      </c>
      <c r="C41" s="18"/>
      <c r="D41" s="18"/>
    </row>
    <row r="42" spans="1:4" ht="15.75" customHeight="1">
      <c r="A42" s="18" t="s">
        <v>453</v>
      </c>
      <c r="B42" s="18">
        <v>10</v>
      </c>
      <c r="C42" s="18"/>
      <c r="D42" s="18"/>
    </row>
    <row r="43" spans="1:4" ht="15.75" customHeight="1">
      <c r="A43" s="18"/>
      <c r="B43" s="18"/>
      <c r="C43" s="18"/>
      <c r="D43" s="18"/>
    </row>
  </sheetData>
  <phoneticPr fontId="1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37"/>
  <sheetViews>
    <sheetView workbookViewId="0"/>
  </sheetViews>
  <sheetFormatPr baseColWidth="10" defaultColWidth="12.6640625" defaultRowHeight="15.75" customHeight="1"/>
  <cols>
    <col min="1" max="1" width="26.33203125" customWidth="1"/>
    <col min="3" max="3" width="21.1640625" customWidth="1"/>
  </cols>
  <sheetData>
    <row r="1" spans="1:4" ht="15.75" customHeight="1">
      <c r="A1" s="2" t="s">
        <v>1</v>
      </c>
      <c r="C1" s="2" t="s">
        <v>439</v>
      </c>
    </row>
    <row r="2" spans="1:4" ht="15.75" customHeight="1">
      <c r="A2" s="2" t="s">
        <v>14</v>
      </c>
      <c r="B2" s="2">
        <f>COUNTIF(Label!$B$2:$C$309,A2)</f>
        <v>34</v>
      </c>
      <c r="C2" s="2" t="s">
        <v>440</v>
      </c>
      <c r="D2" s="2">
        <f t="array" ref="D2">SUM(COUNTIF(Label!$B$2:$C$309, A2:A5))</f>
        <v>66</v>
      </c>
    </row>
    <row r="3" spans="1:4" ht="15.75" customHeight="1">
      <c r="A3" s="2" t="s">
        <v>23</v>
      </c>
      <c r="B3" s="2">
        <f>COUNTIF(Label!$B$2:$C$309,A3)</f>
        <v>11</v>
      </c>
      <c r="C3" s="2" t="s">
        <v>441</v>
      </c>
      <c r="D3" s="2">
        <f t="array" ref="D3">SUM(COUNTIF(Label!$B$2:$C$309, A6:A14))</f>
        <v>49</v>
      </c>
    </row>
    <row r="4" spans="1:4" ht="15.75" customHeight="1">
      <c r="A4" s="2" t="s">
        <v>7</v>
      </c>
      <c r="B4" s="2">
        <f>COUNTIF(Label!$B$2:$C$309,A4)</f>
        <v>11</v>
      </c>
      <c r="C4" s="2" t="s">
        <v>442</v>
      </c>
      <c r="D4" s="2">
        <f t="array" ref="D4">SUM(COUNTIF(Label!$B$2:$C$309, A15:A17))</f>
        <v>24</v>
      </c>
    </row>
    <row r="5" spans="1:4" ht="15.75" customHeight="1">
      <c r="A5" s="2" t="s">
        <v>130</v>
      </c>
      <c r="B5" s="2">
        <f>COUNTIF(Label!$B$2:$C$309,A5)</f>
        <v>10</v>
      </c>
      <c r="C5" s="2" t="s">
        <v>443</v>
      </c>
      <c r="D5" s="2">
        <f t="array" ref="D5">SUM(COUNTIF(Label!$B$2:$C$309, A18:A21))</f>
        <v>17</v>
      </c>
    </row>
    <row r="6" spans="1:4" ht="15.75" customHeight="1">
      <c r="A6" s="2" t="s">
        <v>51</v>
      </c>
      <c r="B6" s="2">
        <f>COUNTIF(Label!$B$2:$C$309,A6)</f>
        <v>17</v>
      </c>
      <c r="C6" s="2" t="s">
        <v>444</v>
      </c>
      <c r="D6" s="2">
        <f t="array" ref="D6">SUM(COUNTIF(Label!$B$2:$C$309, A22:A23))</f>
        <v>12</v>
      </c>
    </row>
    <row r="7" spans="1:4" ht="15.75" customHeight="1">
      <c r="A7" s="2" t="s">
        <v>27</v>
      </c>
      <c r="B7" s="2">
        <f>COUNTIF(Label!$B$2:$C$309,A7)</f>
        <v>8</v>
      </c>
      <c r="C7" s="2" t="s">
        <v>445</v>
      </c>
      <c r="D7" s="2">
        <f t="array" ref="D7">SUM(COUNTIF(Label!$B$2:$C$309, A24:A28))</f>
        <v>11</v>
      </c>
    </row>
    <row r="8" spans="1:4" ht="15.75" customHeight="1">
      <c r="A8" s="2" t="s">
        <v>43</v>
      </c>
      <c r="B8" s="2">
        <f>COUNTIF(Label!$B$2:$C$309,A8)</f>
        <v>6</v>
      </c>
      <c r="C8" s="2" t="s">
        <v>446</v>
      </c>
      <c r="D8" s="2">
        <f t="array" ref="D8">SUM(COUNTIF(Label!$B$2:$C$309, A29:A30))</f>
        <v>8</v>
      </c>
    </row>
    <row r="9" spans="1:4" ht="15.75" customHeight="1">
      <c r="A9" s="2" t="s">
        <v>179</v>
      </c>
      <c r="B9" s="2">
        <f>COUNTIF(Label!$B$2:$C$309,A9)</f>
        <v>6</v>
      </c>
    </row>
    <row r="10" spans="1:4" ht="15.75" customHeight="1">
      <c r="A10" s="2" t="s">
        <v>197</v>
      </c>
      <c r="B10" s="2">
        <f>COUNTIF(Label!$B$2:$C$309,A10)</f>
        <v>4</v>
      </c>
    </row>
    <row r="11" spans="1:4" ht="15.75" customHeight="1">
      <c r="A11" s="2" t="s">
        <v>18</v>
      </c>
      <c r="B11" s="2">
        <f>COUNTIF(Label!$B$2:$C$309,A11)</f>
        <v>3</v>
      </c>
    </row>
    <row r="12" spans="1:4" ht="15.75" customHeight="1">
      <c r="A12" s="2" t="s">
        <v>94</v>
      </c>
      <c r="B12" s="2">
        <f>COUNTIF(Label!$B$2:$C$309,A12)</f>
        <v>2</v>
      </c>
    </row>
    <row r="13" spans="1:4" ht="15.75" customHeight="1">
      <c r="A13" s="2" t="s">
        <v>148</v>
      </c>
      <c r="B13" s="2">
        <f>COUNTIF(Label!$B$2:$C$309,A13)</f>
        <v>2</v>
      </c>
    </row>
    <row r="14" spans="1:4" ht="15.75" customHeight="1">
      <c r="A14" s="2" t="s">
        <v>97</v>
      </c>
      <c r="B14" s="2">
        <f>COUNTIF(Label!$B$2:$C$309,A14)</f>
        <v>1</v>
      </c>
    </row>
    <row r="15" spans="1:4" ht="15.75" customHeight="1">
      <c r="A15" s="2" t="s">
        <v>45</v>
      </c>
      <c r="B15" s="2">
        <f>COUNTIF(Label!$B$2:$C$309,A15)</f>
        <v>14</v>
      </c>
    </row>
    <row r="16" spans="1:4" ht="15.75" customHeight="1">
      <c r="A16" s="2" t="s">
        <v>63</v>
      </c>
      <c r="B16" s="2">
        <f>COUNTIF(Label!$B$2:$C$309,A16)</f>
        <v>8</v>
      </c>
    </row>
    <row r="17" spans="1:2" ht="15.75" customHeight="1">
      <c r="A17" s="2" t="s">
        <v>134</v>
      </c>
      <c r="B17" s="2">
        <f>COUNTIF(Label!$B$2:$C$309,A17)</f>
        <v>2</v>
      </c>
    </row>
    <row r="18" spans="1:2" ht="15.75" customHeight="1">
      <c r="A18" s="2" t="s">
        <v>26</v>
      </c>
      <c r="B18" s="2">
        <f>COUNTIF(Label!$B$2:$C$309,A18)</f>
        <v>7</v>
      </c>
    </row>
    <row r="19" spans="1:2" ht="15.75" customHeight="1">
      <c r="A19" s="2" t="s">
        <v>75</v>
      </c>
      <c r="B19" s="2">
        <f>COUNTIF(Label!$B$2:$C$309,A19)</f>
        <v>4</v>
      </c>
    </row>
    <row r="20" spans="1:2" ht="15.75" customHeight="1">
      <c r="A20" s="2" t="s">
        <v>11</v>
      </c>
      <c r="B20" s="2">
        <f>COUNTIF(Label!$B$2:$C$309,A20)</f>
        <v>3</v>
      </c>
    </row>
    <row r="21" spans="1:2" ht="15.75" customHeight="1">
      <c r="A21" s="2" t="s">
        <v>121</v>
      </c>
      <c r="B21" s="2">
        <f>COUNTIF(Label!$B$2:$C$309,A21)</f>
        <v>3</v>
      </c>
    </row>
    <row r="22" spans="1:2" ht="15.75" customHeight="1">
      <c r="A22" s="2" t="s">
        <v>31</v>
      </c>
      <c r="B22" s="2">
        <f>COUNTIF(Label!$B$2:$C$309,A22)</f>
        <v>7</v>
      </c>
    </row>
    <row r="23" spans="1:2" ht="15.75" customHeight="1">
      <c r="A23" s="2" t="s">
        <v>34</v>
      </c>
      <c r="B23" s="2">
        <f>COUNTIF(Label!$B$2:$C$309,A23)</f>
        <v>5</v>
      </c>
    </row>
    <row r="24" spans="1:2" ht="15.75" customHeight="1">
      <c r="A24" s="2" t="s">
        <v>160</v>
      </c>
      <c r="B24" s="2">
        <f>COUNTIF(Label!$B$2:$C$309,A24)</f>
        <v>4</v>
      </c>
    </row>
    <row r="25" spans="1:2" ht="15.75" customHeight="1">
      <c r="A25" s="2" t="s">
        <v>239</v>
      </c>
      <c r="B25" s="2">
        <f>COUNTIF(Label!$B$2:$C$309,A25)</f>
        <v>3</v>
      </c>
    </row>
    <row r="26" spans="1:2" ht="15.75" customHeight="1">
      <c r="A26" s="2" t="s">
        <v>3</v>
      </c>
      <c r="B26" s="2">
        <f>COUNTIF(Label!$B$2:$C$309,A26)</f>
        <v>2</v>
      </c>
    </row>
    <row r="27" spans="1:2" ht="15.75" customHeight="1">
      <c r="A27" s="2" t="s">
        <v>153</v>
      </c>
      <c r="B27" s="2">
        <f>COUNTIF(Label!$B$2:$C$309,A27)</f>
        <v>1</v>
      </c>
    </row>
    <row r="28" spans="1:2" ht="15.75" customHeight="1">
      <c r="A28" s="2" t="s">
        <v>195</v>
      </c>
      <c r="B28" s="2">
        <f>COUNTIF(Label!$B$2:$C$309,A28)</f>
        <v>1</v>
      </c>
    </row>
    <row r="29" spans="1:2" ht="15.75" customHeight="1">
      <c r="A29" s="2" t="s">
        <v>85</v>
      </c>
      <c r="B29" s="2">
        <f>COUNTIF(Label!$B$2:$C$309,A29)</f>
        <v>6</v>
      </c>
    </row>
    <row r="30" spans="1:2" ht="15.75" customHeight="1">
      <c r="A30" s="2" t="s">
        <v>22</v>
      </c>
      <c r="B30" s="2">
        <f>COUNTIF(Label!$B$2:$C$309,A30)</f>
        <v>2</v>
      </c>
    </row>
    <row r="31" spans="1:2" ht="15.75" customHeight="1">
      <c r="B31" s="2">
        <f>COUNTIF(Label!$B$2:$C$309,A31)</f>
        <v>0</v>
      </c>
    </row>
    <row r="32" spans="1:2" ht="15.75" customHeight="1">
      <c r="B32" s="2">
        <f>COUNTIF(Label!$B$2:$C$309,A32)</f>
        <v>0</v>
      </c>
    </row>
    <row r="33" spans="1:3" ht="15.75" customHeight="1">
      <c r="A33" s="10" t="s">
        <v>5</v>
      </c>
      <c r="B33" s="2">
        <f>COUNTIF(Label!$B$2:$C$309,A33)</f>
        <v>55</v>
      </c>
      <c r="C33" s="10" t="s">
        <v>463</v>
      </c>
    </row>
    <row r="34" spans="1:3" ht="15.75" customHeight="1">
      <c r="A34" s="10" t="s">
        <v>9</v>
      </c>
      <c r="B34" s="2">
        <f>COUNTIF(Label!$B$2:$C$309,A34)</f>
        <v>17</v>
      </c>
      <c r="C34" s="10" t="s">
        <v>464</v>
      </c>
    </row>
    <row r="35" spans="1:3" ht="15.75" customHeight="1">
      <c r="A35" s="10" t="s">
        <v>91</v>
      </c>
      <c r="B35" s="2">
        <f>COUNTIF(Label!$B$2:$C$309,A35)</f>
        <v>8</v>
      </c>
      <c r="C35" s="10" t="s">
        <v>465</v>
      </c>
    </row>
    <row r="36" spans="1:3" ht="15.75" customHeight="1">
      <c r="A36" s="10" t="s">
        <v>20</v>
      </c>
      <c r="B36" s="2">
        <f>COUNTIF(Label!$B$2:$C$309,A36)</f>
        <v>49</v>
      </c>
      <c r="C36" s="10" t="s">
        <v>466</v>
      </c>
    </row>
    <row r="37" spans="1:3" ht="15.75" customHeight="1">
      <c r="A37" s="10" t="s">
        <v>53</v>
      </c>
      <c r="B37" s="2">
        <f>COUNTIF(Label!$B$2:$C$309,A37)</f>
        <v>4</v>
      </c>
      <c r="C37" s="10" t="s">
        <v>467</v>
      </c>
    </row>
  </sheetData>
  <phoneticPr fontId="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Label</vt:lpstr>
      <vt:lpstr>シート7</vt:lpstr>
      <vt:lpstr>saner-vrt</vt:lpstr>
      <vt:lpstr>Horikawa</vt:lpstr>
      <vt:lpstr>MIku</vt:lpstr>
      <vt:lpstr>Detecton Number</vt:lpstr>
      <vt:lpstr>Conflict</vt:lpstr>
      <vt:lpstr>シート5</vt:lpstr>
      <vt:lpstr>Detection-saner</vt:lpstr>
      <vt:lpstr>Detection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渡邉 未来(奈良高専)</cp:lastModifiedBy>
  <dcterms:modified xsi:type="dcterms:W3CDTF">2026-03-03T11:32:12Z</dcterms:modified>
</cp:coreProperties>
</file>