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" sheetId="1" r:id="rId4"/>
    <sheet state="hidden" name="シート7" sheetId="2" r:id="rId5"/>
    <sheet state="hidden" name="saner-vrt" sheetId="3" r:id="rId6"/>
    <sheet state="hidden" name="Horikawa" sheetId="4" r:id="rId7"/>
    <sheet state="hidden" name="MIku" sheetId="5" r:id="rId8"/>
    <sheet state="hidden" name="Conflict" sheetId="6" r:id="rId9"/>
    <sheet state="hidden" name="シート5" sheetId="7" r:id="rId10"/>
    <sheet state="visible" name="Detection-saner" sheetId="8" r:id="rId11"/>
    <sheet state="hidden" name="Detection" sheetId="9" r:id="rId12"/>
  </sheets>
  <definedNames/>
  <calcPr/>
</workbook>
</file>

<file path=xl/sharedStrings.xml><?xml version="1.0" encoding="utf-8"?>
<sst xmlns="http://schemas.openxmlformats.org/spreadsheetml/2006/main" count="2623" uniqueCount="467">
  <si>
    <t>VRT　COMMENT</t>
  </si>
  <si>
    <t>Detection</t>
  </si>
  <si>
    <t>https://github.com/storybookjs/storybook/pull/20712#discussion_r1083565846</t>
  </si>
  <si>
    <t>Focus Does Not Work</t>
  </si>
  <si>
    <t>https://github.com/storybookjs/storybook/pull/20712#discussion_r1083724374</t>
  </si>
  <si>
    <t>OutOfScope: Duplicates</t>
  </si>
  <si>
    <t>https://github.com/ni/nimble/pull/966#discussion_r1074023214</t>
  </si>
  <si>
    <t>Size of Page/Header Changed</t>
  </si>
  <si>
    <t>https://github.com/guardian/dotcom-rendering/pull/6954#issuecomment-1383873154</t>
  </si>
  <si>
    <t>OutOfScope: Cannot access</t>
  </si>
  <si>
    <t>https://github.com/GCTC-NTGC/gc-digital-talent/pull/5740#issuecomment-1440357711</t>
  </si>
  <si>
    <t>Text Size Changed</t>
  </si>
  <si>
    <t>https://github.com/storybookjs/storybook/pull/20995#issuecomment-1426807019</t>
  </si>
  <si>
    <t>https://github.com/guardian/dotcom-rendering/pull/7128#issuecomment-1422355751</t>
  </si>
  <si>
    <t>Layout Shifted</t>
  </si>
  <si>
    <t>https://github.com/guardian/dotcom-rendering/pull/7128#issuecomment-1422375286</t>
  </si>
  <si>
    <t>https://github.com/guardian/dotcom-rendering/pull/7128#issuecomment-1422416345</t>
  </si>
  <si>
    <t>https://github.com/ithaka/pharos/pull/503#discussion_r1146494323</t>
  </si>
  <si>
    <t>Border Disappeared</t>
  </si>
  <si>
    <t>https://github.com/adobe/react-spectrum/pull/4243#issuecomment-1481577294</t>
  </si>
  <si>
    <t>OutOfScope: New Story</t>
  </si>
  <si>
    <t>https://github.com/NeurodataWithoutBorders/nwb-guide/pull/74#issuecomment-1486132202</t>
  </si>
  <si>
    <t>Image Replaced</t>
  </si>
  <si>
    <t>Layout Changed</t>
  </si>
  <si>
    <t>https://github.com/NeurodataWithoutBorders/nwb-guide/pull/74#issuecomment-1486151336</t>
  </si>
  <si>
    <t>https://github.com/seek-oss/braid-design-system/pull/1240#discussion_r1127264221</t>
  </si>
  <si>
    <t>Text Disappeared</t>
  </si>
  <si>
    <t>New Contents</t>
  </si>
  <si>
    <t>https://github.com/contentful/forma-36/pull/2436#issuecomment-1482782327</t>
  </si>
  <si>
    <t>https://github.com/contentful/forma-36/pull/2436#issuecomment-1485049856</t>
  </si>
  <si>
    <t>https://github.com/contentful/forma-36/pull/2430#issuecomment-1468376389</t>
  </si>
  <si>
    <t>Undefined/Wrong State is Shown</t>
  </si>
  <si>
    <t>https://github.com/sbb-design-systems/lyne-components/pull/1691#discussion_r1155937820</t>
  </si>
  <si>
    <t>https://github.com/livechat/design-system/pull/518#issuecomment-1513081507</t>
  </si>
  <si>
    <t>Default State is Changed</t>
  </si>
  <si>
    <t>https://github.com/coder/coder/pull/7210#issuecomment-1523711377</t>
  </si>
  <si>
    <t>https://github.com/coder/coder/pull/7210#issuecomment-1523829146</t>
  </si>
  <si>
    <t>https://github.com/forkfacts/forkfacts-v2/pull/26#discussion_r1156498711</t>
  </si>
  <si>
    <t>https://github.com/storybookjs/storybook/pull/22336#issuecomment-1576578560</t>
  </si>
  <si>
    <t>https://github.com/ForgeRock/forgerock-web-login-framework/pull/121#issuecomment-1582606514</t>
  </si>
  <si>
    <t>https://github.com/ForgeRock/forgerock-web-login-framework/pull/121#issuecomment-1582829867</t>
  </si>
  <si>
    <t>https://github.com/danskernesdigitalebibliotek/dpl-design-system/pull/239#issuecomment-1590831197</t>
  </si>
  <si>
    <t>https://github.com/NeurodataWithoutBorders/nwb-guide/pull/219#issuecomment-1582854272</t>
  </si>
  <si>
    <t>Contents Disappeared</t>
  </si>
  <si>
    <t>https://github.com/input-output-hk/lace/pull/128#discussion_r1235304399</t>
  </si>
  <si>
    <t>Box Color Changed</t>
  </si>
  <si>
    <t>https://github.com/input-output-hk/lace/pull/128#discussion_r1235309846</t>
  </si>
  <si>
    <t>https://github.com/contentful/forma-36/pull/2498#issuecomment-1578506842</t>
  </si>
  <si>
    <t>https://github.com/contentful/forma-36/pull/2498#issuecomment-1578517673</t>
  </si>
  <si>
    <t>https://github.com/ni/nimble/pull/1335#discussion_r1263879886</t>
  </si>
  <si>
    <t>https://github.com/Sage-Bionetworks/synapse-web-monorepo/pull/319#issuecomment-1597866592</t>
  </si>
  <si>
    <t>Box Size Changed</t>
  </si>
  <si>
    <t>https://github.com/chromaui/addon-visual-tests/pull/22#issuecomment-1675592946</t>
  </si>
  <si>
    <t>OutOfScope: Not VRT Discussion</t>
  </si>
  <si>
    <t>https://github.com/contentful/forma-36/pull/2520#issuecomment-1624983316</t>
  </si>
  <si>
    <t>https://github.com/isomerpages/isomercms-frontend/pull/1398#issuecomment-1672650566</t>
  </si>
  <si>
    <t>https://github.com/isomerpages/isomercms-frontend/pull/1435#issuecomment-1689636196</t>
  </si>
  <si>
    <t>https://github.com/isomerpages/isomercms-frontend/pull/1396#issuecomment-1672651113</t>
  </si>
  <si>
    <t>https://github.com/Esri/calcite-design-system/pull/7568#issuecomment-1689209740</t>
  </si>
  <si>
    <t>https://github.com/Esri/calcite-design-system/pull/7568#issuecomment-1690111304</t>
  </si>
  <si>
    <t>https://github.com/epicmaxco/vuestic-ui/pull/3729#discussion_r1303995244</t>
  </si>
  <si>
    <t>https://github.com/NeurodataWithoutBorders/nwb-guide/pull/305#issuecomment-1686618217</t>
  </si>
  <si>
    <t>https://github.com/solid-design-system/solid/pull/318#issuecomment-1661736821</t>
  </si>
  <si>
    <t>Text Color Changed</t>
  </si>
  <si>
    <t>https://github.com/guardian/dotcom-rendering/pull/8478#issuecomment-1665498143</t>
  </si>
  <si>
    <t>https://github.com/guardian/dotcom-rendering/pull/8478#issuecomment-1665506423</t>
  </si>
  <si>
    <t>https://github.com/adobe/react-spectrum/pull/4972#discussion_r1306204926</t>
  </si>
  <si>
    <t>https://github.com/guardian/dotcom-rendering/pull/8633#issuecomment-1697519138</t>
  </si>
  <si>
    <t>https://github.com/chromaui/addon-visual-tests/pull/69#discussion_r1314789164</t>
  </si>
  <si>
    <t>https://github.com/storybookjs/storybook/pull/24146#discussion_r1332517627</t>
  </si>
  <si>
    <t>Not sure</t>
  </si>
  <si>
    <t>https://github.com/bitwarden/clients/pull/6225#discussion_r1336278028</t>
  </si>
  <si>
    <t>https://github.com/isomerpages/isomercms-frontend/pull/1620#issuecomment-1780379051</t>
  </si>
  <si>
    <t>https://github.com/Esri/calcite-design-system/pull/8055#issuecomment-1793344331</t>
  </si>
  <si>
    <t>https://github.com/recharts/recharts/pull/3908#issuecomment-1785720245</t>
  </si>
  <si>
    <t>Contents of Text Changed</t>
  </si>
  <si>
    <t>https://github.com/recharts/recharts/pull/3908#issuecomment-1785791090</t>
  </si>
  <si>
    <t>https://github.com/Esri/calcite-design-system/pull/8066#issuecomment-1781507882</t>
  </si>
  <si>
    <t>https://github.com/navikt/aksel/pull/2395#discussion_r1365062177</t>
  </si>
  <si>
    <t>https://github.com/storybookjs/storybook/pull/24395#issuecomment-1752448257</t>
  </si>
  <si>
    <t>https://github.com/kufu/smarthr-ui/pull/3975#issuecomment-1807527354</t>
  </si>
  <si>
    <t>https://github.com/kufu/smarthr-ui/pull/3975#issuecomment-1809757221</t>
  </si>
  <si>
    <t>https://github.com/guardian/support-frontend/pull/5429#issuecomment-1801905875</t>
  </si>
  <si>
    <t>https://github.com/coder/coder/pull/10857#issuecomment-1828368632</t>
  </si>
  <si>
    <t>https://github.com/GCTC-NTGC/gc-digital-talent/pull/8405#issuecomment-1793218502</t>
  </si>
  <si>
    <t>Image Adjusted</t>
  </si>
  <si>
    <t>https://github.com/daydule/frontend/pull/71#discussion_r1412686754</t>
  </si>
  <si>
    <t>https://github.com/sbb-design-systems/lyne-components/pull/2255#discussion_r1414961306</t>
  </si>
  <si>
    <t>https://github.com/guardian/dotcom-rendering/pull/9792#discussion_r1417022793</t>
  </si>
  <si>
    <t>https://github.com/adobe/spectrum-css/pull/2424#issuecomment-1948839059</t>
  </si>
  <si>
    <t>https://github.com/AmazeeLabs/silverback-template/pull/132#issuecomment-1910187080</t>
  </si>
  <si>
    <t>OutOfScope: Chromatic Error</t>
  </si>
  <si>
    <t>https://github.com/AmazeeLabs/silverback-template/pull/132#issuecomment-1910451341</t>
  </si>
  <si>
    <t>https://github.com/adobe/react-spectrum/pull/5705#issuecomment-1900904418</t>
  </si>
  <si>
    <t>Wrong Border Thickness</t>
  </si>
  <si>
    <t>https://github.com/adobe/react-spectrum/pull/5705#issuecomment-1901148987</t>
  </si>
  <si>
    <t>https://github.com/adobe/react-spectrum/pull/5705#issuecomment-1901569192</t>
  </si>
  <si>
    <t>New Border Appeared</t>
  </si>
  <si>
    <t>https://github.com/adobe/react-spectrum/pull/5705#issuecomment-1902645890</t>
  </si>
  <si>
    <t>https://github.com/recharts/recharts/pull/4062#issuecomment-1899349398</t>
  </si>
  <si>
    <t>https://github.com/Esri/calcite-design-system/pull/8561#issuecomment-1886360767</t>
  </si>
  <si>
    <t>https://github.com/Esri/calcite-design-system/pull/8561#issuecomment-1887960719</t>
  </si>
  <si>
    <t>https://github.com/kufu/smarthr-ui/pull/4182#discussion_r1450221819</t>
  </si>
  <si>
    <t>https://github.com/NeurodataWithoutBorders/nwb-guide/pull/555#issuecomment-1885822780</t>
  </si>
  <si>
    <t>https://github.com/storybookjs/storybook/pull/25460#discussion_r1443379463</t>
  </si>
  <si>
    <t>https://github.com/ni/nimble/pull/1791#discussion_r1473516211</t>
  </si>
  <si>
    <t>https://github.com/danskernesdigitalebibliotek/dpl-design-system/pull/518#issuecomment-1959829217</t>
  </si>
  <si>
    <t>https://github.com/adobe/react-spectrum/pull/5941#discussion_r1501899861</t>
  </si>
  <si>
    <t>https://github.com/department-of-veterans-affairs/component-library/pull/1073#discussion_r1517923030</t>
  </si>
  <si>
    <t>https://github.com/Esri/calcite-design-system/pull/8786#issuecomment-1955720555</t>
  </si>
  <si>
    <t>https://github.com/kufu/smarthr-ui/pull/4302#discussion_r1487082121</t>
  </si>
  <si>
    <t>https://github.com/storybookjs/storybook/pull/26254#discussion_r1507440482</t>
  </si>
  <si>
    <t>https://github.com/department-of-veterans-affairs/component-library/pull/1096#issuecomment-2025318864</t>
  </si>
  <si>
    <t>https://github.com/ethereum/ethereum-org-website/pull/12594#issuecomment-2024845557</t>
  </si>
  <si>
    <t>https://github.com/kufu/smarthr-ui/pull/4479#issuecomment-2014162418</t>
  </si>
  <si>
    <t>https://github.com/danskernesdigitalebibliotek/dpl-design-system/pull/542#issuecomment-1980864682</t>
  </si>
  <si>
    <t>https://github.com/navikt/aksel/pull/2795#issuecomment-1999698330</t>
  </si>
  <si>
    <t>https://github.com/Crystal-Creations-GbR/crystal-components/pull/70#issuecomment-2034063870</t>
  </si>
  <si>
    <t>https://github.com/chromaui/chromatic-docs/pull/400#discussion_r1530909058</t>
  </si>
  <si>
    <t>https://github.com/NeurodataWithoutBorders/nwb-guide/pull/674#issuecomment-1999943078</t>
  </si>
  <si>
    <t>https://github.com/guardian/dotcom-rendering/pull/10864#issuecomment-2017657371</t>
  </si>
  <si>
    <t>New Text</t>
  </si>
  <si>
    <t>https://github.com/wellcomecollection/wellcomecollection.org/pull/10792#issuecomment-2061398319</t>
  </si>
  <si>
    <t>https://github.com/ethereum/ethereum-org-website/pull/12639#issuecomment-2035787922</t>
  </si>
  <si>
    <t>https://github.com/ethereum/ethereum-org-website/pull/12639#issuecomment-2045255946</t>
  </si>
  <si>
    <t>https://github.com/coder/coder/pull/13031#issuecomment-2072113477</t>
  </si>
  <si>
    <t>https://github.com/recharts/recharts/pull/4441#issuecomment-2063787042</t>
  </si>
  <si>
    <t>https://github.com/appsmithorg/appsmith/pull/32857#issuecomment-2071595653</t>
  </si>
  <si>
    <t>https://github.com/kufu/smarthr-ui/pull/4626#discussion_r1587350621</t>
  </si>
  <si>
    <t>https://github.com/misskey-dev/misskey/pull/13830#issuecomment-2155886151</t>
  </si>
  <si>
    <t>Specific Items are Mis-aligned</t>
  </si>
  <si>
    <t>https://github.com/cloudblue/connect-ui-toolkit/pull/92#issuecomment-2117027142</t>
  </si>
  <si>
    <t>https://github.com/cloudblue/connect-ui-toolkit/pull/92#issuecomment-2117397544</t>
  </si>
  <si>
    <t>https://github.com/danskernesdigitalebibliotek/dpl-design-system/pull/650#issuecomment-2153175265</t>
  </si>
  <si>
    <t>Border Color Changed</t>
  </si>
  <si>
    <t>https://github.com/danskernesdigitalebibliotek/dpl-design-system/pull/650#issuecomment-2156025254</t>
  </si>
  <si>
    <t>https://github.com/recharts/recharts/pull/4542#discussion_r1608892185</t>
  </si>
  <si>
    <t>https://github.com/misskey-dev/misskey/pull/13779#issuecomment-2088165855</t>
  </si>
  <si>
    <t>https://github.com/Esri/calcite-design-system/pull/9688#issuecomment-2200855111</t>
  </si>
  <si>
    <t>https://github.com/ni/nimble/pull/2167#discussion_r1633407705</t>
  </si>
  <si>
    <t>https://github.com/ni/nimble/pull/2167#discussion_r1636377158</t>
  </si>
  <si>
    <t>https://github.com/Sage/carbon/pull/6795#discussion_r1664512005</t>
  </si>
  <si>
    <t>https://github.com/jpmorganchase/salt-ds/pull/3551#issuecomment-2173528937</t>
  </si>
  <si>
    <t>https://github.com/ni/nimble/pull/2189#discussion_r1644509089</t>
  </si>
  <si>
    <t>https://github.com/storybookjs/storybook/pull/28739#issuecomment-2260800234</t>
  </si>
  <si>
    <t>https://github.com/Esri/calcite-design-system/pull/9912#issuecomment-2264155036</t>
  </si>
  <si>
    <t>https://github.com/recharts/recharts/pull/4795#issuecomment-2243019123</t>
  </si>
  <si>
    <t>https://github.com/gradio-app/gradio/pull/8851#issuecomment-2240820847</t>
  </si>
  <si>
    <t>New Buttons</t>
  </si>
  <si>
    <t>https://github.com/ni/nimble/pull/2315#discussion_r1700879609</t>
  </si>
  <si>
    <t>https://github.com/adobe/spectrum-css/pull/2929#discussion_r1722395207</t>
  </si>
  <si>
    <t>https://github.com/sillsdev/web-xforge/pull/2557#issuecomment-2223578650</t>
  </si>
  <si>
    <t>https://github.com/Esri/calcite-design-system/pull/9969#issuecomment-2351227427</t>
  </si>
  <si>
    <t>Flacky Test</t>
  </si>
  <si>
    <t>https://github.com/adobe/react-spectrum/pull/6965#discussion_r1739214016</t>
  </si>
  <si>
    <t>https://github.com/DouyinFE/semi-design/pull/2431#issuecomment-2298195864</t>
  </si>
  <si>
    <t>https://github.com/evidence-dev/evidence/pull/2317#issuecomment-2289243857</t>
  </si>
  <si>
    <t>https://github.com/kufu/smarthr-ui/pull/4821#discussion_r1703897845</t>
  </si>
  <si>
    <t>https://github.com/navikt/aksel/pull/3081#discussion_r1796528450</t>
  </si>
  <si>
    <t>https://github.com/evidence-dev/evidence/pull/2436#issuecomment-2318997943</t>
  </si>
  <si>
    <t>No or Few Visual Diffrences Detected</t>
  </si>
  <si>
    <t>https://github.com/sl-design-system/components/pull/1454#issuecomment-2296393650</t>
  </si>
  <si>
    <t>https://github.com/Khan/wonder-blocks/pull/2309#discussion_r1735211623</t>
  </si>
  <si>
    <t>https://github.com/guardian/dotcom-rendering/pull/12062#issuecomment-2269215873</t>
  </si>
  <si>
    <t>https://github.com/chromaui/chromatic-e2e/pull/207#issuecomment-2379969401</t>
  </si>
  <si>
    <t>https://github.com/chromaui/chromatic-e2e/pull/207#issuecomment-2380293932</t>
  </si>
  <si>
    <t>https://github.com/Esri/calcite-design-system/pull/10343#issuecomment-2359660979</t>
  </si>
  <si>
    <t>https://github.com/chromaui/chromatic-e2e/pull/203#issuecomment-2377384077</t>
  </si>
  <si>
    <t>https://github.com/nl-design-system/rijkshuisstijl-community/pull/620#issuecomment-2333447134</t>
  </si>
  <si>
    <t>https://github.com/gradio-app/gradio/pull/9260#issuecomment-2341588367</t>
  </si>
  <si>
    <t>https://github.com/evidence-dev/evidence/pull/2511#issuecomment-2362192856</t>
  </si>
  <si>
    <t>https://github.com/guardian/dotcom-rendering/pull/12298#issuecomment-2331351518</t>
  </si>
  <si>
    <t>https://github.com/guardian/dotcom-rendering/pull/12298#issuecomment-2331639363</t>
  </si>
  <si>
    <t>https://github.com/adobe/react-spectrum/pull/7284#issuecomment-2445457916</t>
  </si>
  <si>
    <t>https://github.com/Esri/calcite-design-system/pull/10621#discussion_r1819880028</t>
  </si>
  <si>
    <t>https://github.com/VOICEVOX/voicevox/pull/2287#issuecomment-2408543634</t>
  </si>
  <si>
    <t>https://github.com/Longhorn-Developers/UT-Registration-Plus/pull/425#issuecomment-2469782864</t>
  </si>
  <si>
    <t>https://github.com/Sage/carbon/pull/7091#discussion_r1856809685</t>
  </si>
  <si>
    <t>https://github.com/Esri/calcite-design-system/pull/10820#discussion_r1851061100</t>
  </si>
  <si>
    <t>Box Shape Changed</t>
  </si>
  <si>
    <t>https://github.com/opendatasoft/ods-dataviz-sdk/pull/266#discussion_r1906988397</t>
  </si>
  <si>
    <t>https://github.com/kufu/smarthr-ui/pull/5091#discussion_r1837312269</t>
  </si>
  <si>
    <t>https://github.com/Khan/wonder-blocks/pull/2363#discussion_r1850770100</t>
  </si>
  <si>
    <t>https://github.com/fortanix/baklava/pull/54#issuecomment-2541135317</t>
  </si>
  <si>
    <t>https://github.com/fortanix/baklava/pull/54#issuecomment-2541213731</t>
  </si>
  <si>
    <t>https://github.com/ithaka/pharos/pull/862#issuecomment-2624532383</t>
  </si>
  <si>
    <t>https://github.com/epicmaxco/vuestic-ui/pull/4451#issuecomment-2663810694</t>
  </si>
  <si>
    <t>https://github.com/coder/coder/pull/16134#issuecomment-2597614481</t>
  </si>
  <si>
    <t>https://github.com/kufu/smarthr-ui/pull/5307#discussion_r1923604952</t>
  </si>
  <si>
    <t>https://github.com/Esri/calcite-design-system/pull/11215#discussion_r1905911491</t>
  </si>
  <si>
    <t>https://github.com/Khan/wonder-blocks/pull/2441#discussion_r1935940259</t>
  </si>
  <si>
    <t>https://github.com/serendie/serendie/pull/28#issuecomment-2670908811</t>
  </si>
  <si>
    <t>https://github.com/department-of-veterans-affairs/component-library/pull/1487#issuecomment-2668874799</t>
  </si>
  <si>
    <t>https://github.com/Sage/carbon/pull/3498#discussion_r545695302</t>
  </si>
  <si>
    <t>https://github.com/curology/radiance-ui/pull/642#discussion_r543497937</t>
  </si>
  <si>
    <t>No Changes</t>
  </si>
  <si>
    <t>https://github.com/getappmap/appmap-js/pull/57#discussion_r567018223</t>
  </si>
  <si>
    <t>Box Disappeared</t>
  </si>
  <si>
    <t>https://github.com/storybookjs/storybook/pull/13685#issuecomment-765626800</t>
  </si>
  <si>
    <t>https://github.com/contentful/forma-36/pull/757#issuecomment-756679378</t>
  </si>
  <si>
    <t>https://github.com/contentful/forma-36/pull/757#issuecomment-756680553</t>
  </si>
  <si>
    <t>https://github.com/getappmap/appmap-js/pull/32#discussion_r559645850</t>
  </si>
  <si>
    <t>https://github.com/cultureamp/kaizen-design-system/pull/1053#issuecomment-779549912</t>
  </si>
  <si>
    <t>https://github.com/cultureamp/kaizen-design-system/pull/1053#issuecomment-779550856</t>
  </si>
  <si>
    <t>https://github.com/CruGlobal/mpdx-react/pull/25#issuecomment-797531035</t>
  </si>
  <si>
    <t>https://github.com/cultureamp/kaizen-design-system/pull/1218#issuecomment-801625181</t>
  </si>
  <si>
    <t>https://github.com/storybookjs/storybook/pull/14251#issuecomment-801091000</t>
  </si>
  <si>
    <t>https://github.com/storybookjs/storybook/pull/14251#issuecomment-801105402</t>
  </si>
  <si>
    <t>https://github.com/storybookjs/storybook/pull/14172#issuecomment-793654227</t>
  </si>
  <si>
    <t>https://github.com/homebound-team/beam/pull/61#issuecomment-837020051</t>
  </si>
  <si>
    <t>https://github.com/metmuseum/marble/pull/121#discussion_r637023560</t>
  </si>
  <si>
    <t>https://github.com/storybookjs/storybook/pull/15059#issuecomment-856753293</t>
  </si>
  <si>
    <t>https://github.com/ithaka/pharos/pull/36#issuecomment-848266671</t>
  </si>
  <si>
    <t>https://github.com/WPMedia/arc-themes-blocks/pull/862#issuecomment-837133410</t>
  </si>
  <si>
    <t>https://github.com/storybookjs/storybook/pull/14820#issuecomment-835330799</t>
  </si>
  <si>
    <t>https://github.com/grommet/grommet/pull/5213#issuecomment-832071725</t>
  </si>
  <si>
    <t>https://github.com/adobe/react-spectrum/pull/2057#issuecomment-984087504</t>
  </si>
  <si>
    <t>https://github.com/adobe/react-spectrum/pull/2057#issuecomment-985285721</t>
  </si>
  <si>
    <t>https://github.com/getappmap/appmap-js/pull/255#issuecomment-863421123</t>
  </si>
  <si>
    <t>https://github.com/microsoft/iot-cardboard-js/pull/78#issuecomment-888678243</t>
  </si>
  <si>
    <t>https://github.com/ntls-io/nautilus-wallet/pull/28#issuecomment-884843049</t>
  </si>
  <si>
    <t>https://github.com/ntls-io/nautilus-wallet/pull/28#discussion_r676438744</t>
  </si>
  <si>
    <t>https://github.com/ntls-io/nautilus-wallet/pull/23#issuecomment-884723190</t>
  </si>
  <si>
    <t>https://github.com/cultureamp/kaizen-design-system/pull/1800#issuecomment-889533506</t>
  </si>
  <si>
    <t>https://github.com/WPMedia/arc-themes-blocks/pull/1014#discussion_r679838147</t>
  </si>
  <si>
    <t>https://github.com/storybookjs/storybook/pull/15556#issuecomment-878619570</t>
  </si>
  <si>
    <t>https://github.com/contentful/forma-36/pull/1093#issuecomment-883348633</t>
  </si>
  <si>
    <t>https://github.com/gravitee-io/gravitee-ui-components/pull/401#issuecomment-874051052</t>
  </si>
  <si>
    <t>https://github.com/WPMedia/arc-themes-blocks/pull/1044#issuecomment-900553213</t>
  </si>
  <si>
    <t>https://github.com/sberdevices/plasma/pull/676#issuecomment-910057384</t>
  </si>
  <si>
    <t>https://github.com/sberdevices/plasma/pull/676#issuecomment-913474266</t>
  </si>
  <si>
    <t>https://github.com/WPMedia/arc-themes-blocks/pull/1019#issuecomment-892080725</t>
  </si>
  <si>
    <t>https://github.com/WPMedia/arc-themes-blocks/pull/1019#issuecomment-892088511</t>
  </si>
  <si>
    <t>https://github.com/WPMedia/arc-themes-blocks/pull/1062#issuecomment-904955772</t>
  </si>
  <si>
    <t>https://github.com/guardian/gateway/pull/791#issuecomment-899635644</t>
  </si>
  <si>
    <t>https://github.com/guardian/gateway/pull/791#issuecomment-900114068</t>
  </si>
  <si>
    <t>https://github.com/guardian/gateway/pull/791#issuecomment-901702021</t>
  </si>
  <si>
    <t>https://github.com/guardian/gateway/pull/791#issuecomment-901720443</t>
  </si>
  <si>
    <t>https://github.com/PostHog/posthog/pull/5736#issuecomment-906414490</t>
  </si>
  <si>
    <t>Fragile Snapshot</t>
  </si>
  <si>
    <t>https://github.com/eisbuk/EisBuk/pull/183#discussion_r702913628</t>
  </si>
  <si>
    <t>https://github.com/eisbuk/EisBuk/pull/183#discussion_r702913729</t>
  </si>
  <si>
    <t>https://github.com/WPMedia/arc-themes-blocks/pull/1092#issuecomment-924130437</t>
  </si>
  <si>
    <t>https://github.com/WPMedia/arc-themes-blocks/pull/1092#issuecomment-924181155</t>
  </si>
  <si>
    <t>https://github.com/storybookjs/storybook/pull/16178#issuecomment-932479529</t>
  </si>
  <si>
    <t>https://github.com/BBC-archive/psammead/pull/4548#issuecomment-920667290</t>
  </si>
  <si>
    <t>https://github.com/proeco/proeco-client/pull/147#discussion_r739843790</t>
  </si>
  <si>
    <t>https://github.com/guardian/dotcom-rendering/pull/3519#issuecomment-942076500</t>
  </si>
  <si>
    <t>https://github.com/hackworthltd/primer-app/pull/112#issuecomment-970242570</t>
  </si>
  <si>
    <t>https://github.com/ntls-io/nautilus-wallet/pull/136#discussion_r779691202</t>
  </si>
  <si>
    <t>https://github.com/guardian/dotcom-rendering/pull/3645#issuecomment-970508235</t>
  </si>
  <si>
    <t>https://github.com/guardian/dotcom-rendering/pull/3645#issuecomment-971788502</t>
  </si>
  <si>
    <t>https://github.com/cultureamp/kaizen-design-system/pull/2300#issuecomment-976168691</t>
  </si>
  <si>
    <t>https://github.com/dpc-sdp/ripple/pull/1111#discussion_r793138311</t>
  </si>
  <si>
    <t>https://github.com/input-output-hk/daedalus/pull/2776#discussion_r769552260</t>
  </si>
  <si>
    <t>https://github.com/titicacadev/triple-frontend/pull/1762#issuecomment-1000705330</t>
  </si>
  <si>
    <t>https://github.com/titicacadev/triple-frontend/pull/1754#issuecomment-1000097664</t>
  </si>
  <si>
    <t>https://github.com/titicacadev/triple-frontend/pull/1754#issuecomment-1000107533</t>
  </si>
  <si>
    <t>https://github.com/homebound-team/beam/pull/409#issuecomment-994836463</t>
  </si>
  <si>
    <t>https://github.com/homebound-team/beam/pull/409#issuecomment-994966005</t>
  </si>
  <si>
    <t>https://github.com/Workday/canvas-kit/pull/1396#issuecomment-1009184755</t>
  </si>
  <si>
    <t>https://github.com/Khan/wonder-blocks/pull/1257#discussion_r782253740</t>
  </si>
  <si>
    <t>https://github.com/guardian/dotcom-rendering/pull/3724#discussion_r765954024</t>
  </si>
  <si>
    <t>https://github.com/Workday/canvas-kit/pull/1441#issuecomment-1021693435</t>
  </si>
  <si>
    <t>https://github.com/hackworthltd/primer-app/pull/213#issuecomment-1004912593</t>
  </si>
  <si>
    <t>https://github.com/hackworthltd/primer-app/pull/213#issuecomment-1004920865</t>
  </si>
  <si>
    <t>https://github.com/guardian/dotcom-rendering/pull/3823#discussion_r784065168</t>
  </si>
  <si>
    <t>https://github.com/guardian/dotcom-rendering/pull/3988#discussion_r807925280</t>
  </si>
  <si>
    <t>https://github.com/guardian/dotcom-rendering/pull/3897#issuecomment-1026674714</t>
  </si>
  <si>
    <t>https://github.com/chanzuckerberg/edu-design-system/pull/893#discussion_r842892057</t>
  </si>
  <si>
    <t>https://github.com/guardian/gateway/pull/1575#issuecomment-1075108673</t>
  </si>
  <si>
    <t>https://github.com/ni/nimble/pull/406#discussion_r820811558</t>
  </si>
  <si>
    <t>https://github.com/ntls-io/nautilus-wallet/pull/160#issuecomment-1066596746</t>
  </si>
  <si>
    <t>https://github.com/chanzuckerberg/edu-design-system/pull/921#discussion_r838791044</t>
  </si>
  <si>
    <t>https://github.com/lena1687/react-game-project/pull/1#discussion_r857226722</t>
  </si>
  <si>
    <t>https://github.com/curology/radiance-ui/pull/1470#discussion_r842299961</t>
  </si>
  <si>
    <t>https://github.com/metmuseum/marble/pull/185#discussion_r877330203</t>
  </si>
  <si>
    <t>https://github.com/coder/coder/pull/981#discussion_r848878274</t>
  </si>
  <si>
    <t>https://github.com/WPMedia/arc-themes-blocks/pull/1347#issuecomment-1142183578</t>
  </si>
  <si>
    <t>https://github.com/WPMedia/arc-themes-blocks/pull/1345#issuecomment-1128036138</t>
  </si>
  <si>
    <t>https://github.com/WPMedia/arc-themes-blocks/pull/1345#issuecomment-1128167602</t>
  </si>
  <si>
    <t>https://github.com/WPMedia/arc-themes-blocks/pull/1332#issuecomment-1126159948</t>
  </si>
  <si>
    <t>https://github.com/WPMedia/arc-themes-blocks/pull/1335#discussion_r870062272</t>
  </si>
  <si>
    <t>https://github.com/contentful/forma-36/pull/2057#issuecomment-1137141845</t>
  </si>
  <si>
    <t>https://github.com/adobe/react-spectrum/pull/3132#issuecomment-1128161665</t>
  </si>
  <si>
    <t>https://github.com/coder/coder/pull/1574#issuecomment-1130487309</t>
  </si>
  <si>
    <t>https://github.com/WPMedia/arc-themes-blocks/pull/1365#issuecomment-1144002961</t>
  </si>
  <si>
    <t>https://github.com/chanzuckerberg/edu-design-system/pull/1083#issuecomment-1135152219</t>
  </si>
  <si>
    <t>https://github.com/GCTC-NTGC/gc-digital-talent/pull/2728#issuecomment-1125506624</t>
  </si>
  <si>
    <t>https://github.com/GCTC-NTGC/gc-digital-talent/pull/2728#issuecomment-1126018662</t>
  </si>
  <si>
    <t>https://github.com/GCTC-NTGC/gc-digital-talent/pull/2728#issuecomment-1127888784</t>
  </si>
  <si>
    <t>https://github.com/guardian/dotcom-rendering/pull/5128#issuecomment-1149608974</t>
  </si>
  <si>
    <t>https://github.com/WPMedia/arc-themes-blocks/pull/1373#issuecomment-1152400891</t>
  </si>
  <si>
    <t>https://github.com/WPMedia/arc-themes-blocks/pull/1386#discussion_r921977280</t>
  </si>
  <si>
    <t>https://github.com/WPMedia/arc-themes-blocks/pull/1386#issuecomment-1185949928</t>
  </si>
  <si>
    <t>https://github.com/WPMedia/arc-themes-blocks/pull/1386#issuecomment-1187325320</t>
  </si>
  <si>
    <t>https://github.com/coder/coder/pull/2103#issuecomment-1147935372</t>
  </si>
  <si>
    <t>https://github.com/ni/nimble/pull/609#discussion_r902025727</t>
  </si>
  <si>
    <t>https://github.com/homebound-team/beam/pull/550#discussion_r889603761</t>
  </si>
  <si>
    <t>https://github.com/WPMedia/arc-themes-blocks/pull/1411#issuecomment-1191480627</t>
  </si>
  <si>
    <t>https://github.com/WPMedia/arc-themes-blocks/pull/1411#issuecomment-1191482467</t>
  </si>
  <si>
    <t>https://github.com/WPMedia/arc-themes-blocks/pull/1411#issuecomment-1196792652</t>
  </si>
  <si>
    <t>https://github.com/WPMedia/arc-themes-components/pull/116#issuecomment-1184570444</t>
  </si>
  <si>
    <t>https://github.com/WPMedia/arc-themes-components/pull/116#issuecomment-1184585892</t>
  </si>
  <si>
    <t>https://github.com/coder/coder/pull/3189#issuecomment-1194626810</t>
  </si>
  <si>
    <t>https://github.com/coder/coder/pull/3189#issuecomment-1195475937</t>
  </si>
  <si>
    <t>https://github.com/WPMedia/arc-themes-components/pull/121#issuecomment-1192619108</t>
  </si>
  <si>
    <t>https://github.com/cerebrl/forgerock-web-login-framework/pull/6#issuecomment-1194310216</t>
  </si>
  <si>
    <t>https://github.com/guardian/dotcom-rendering/pull/5529#discussion_r949989262</t>
  </si>
  <si>
    <t>https://github.com/bitwarden/clients/pull/3372#issuecomment-1244930705</t>
  </si>
  <si>
    <t>https://github.com/WPMedia/arc-themes-blocks/pull/1481#issuecomment-1224500795</t>
  </si>
  <si>
    <t>https://github.com/WPMedia/arc-themes-blocks/pull/1481#issuecomment-1230715670</t>
  </si>
  <si>
    <t>https://github.com/WPMedia/arc-themes-blocks/pull/1462#issuecomment-1209889538</t>
  </si>
  <si>
    <t>https://github.com/WPMedia/arc-themes-blocks/pull/1462#issuecomment-1209892350</t>
  </si>
  <si>
    <t>https://github.com/storybookjs/storybook/pull/19029#issuecomment-1228712092</t>
  </si>
  <si>
    <t>https://github.com/razorpay/blade/pull/634#issuecomment-1216415091</t>
  </si>
  <si>
    <t>https://github.com/chanzuckerberg/sci-components/pull/236#issuecomment-1215832526</t>
  </si>
  <si>
    <t>https://github.com/launchdarkly/launchpad-ui/pull/351#issuecomment-1242158688</t>
  </si>
  <si>
    <t>https://github.com/storybookjs/storybook/pull/19189#issuecomment-1248920649</t>
  </si>
  <si>
    <t>https://github.com/dpc-sdp/ripple-framework/pull/224#discussion_r970362124</t>
  </si>
  <si>
    <t>https://github.com/GCTC-NTGC/gc-digital-talent/pull/3865#issuecomment-1241109917</t>
  </si>
  <si>
    <t>https://github.com/storybookjs/components-marketing/pull/35#issuecomment-1242259347</t>
  </si>
  <si>
    <t>https://github.com/storybookjs/storybook/pull/19181#issuecomment-1269341227</t>
  </si>
  <si>
    <t>https://github.com/chanzuckerberg/edu-design-system/pull/1322#discussion_r983726151</t>
  </si>
  <si>
    <t>https://github.com/chanzuckerberg/edu-design-system/pull/1322#discussion_r983737173</t>
  </si>
  <si>
    <t>https://github.com/chanzuckerberg/edu-design-system/pull/1346#issuecomment-1279388288</t>
  </si>
  <si>
    <t>https://github.com/chanzuckerberg/edu-design-system/pull/1346#issuecomment-1279399748</t>
  </si>
  <si>
    <t>https://github.com/cultureamp/kaizen-design-system/pull/3051#issuecomment-1291473303</t>
  </si>
  <si>
    <t>https://github.com/coder/coder/pull/4810#discussion_r1037213727</t>
  </si>
  <si>
    <t>https://github.com/guardian/dotcom-rendering/pull/6258#issuecomment-1286822344</t>
  </si>
  <si>
    <t>https://github.com/guardian/dotcom-rendering/pull/6235#issuecomment-1285849085</t>
  </si>
  <si>
    <t>https://github.com/Trendyol/baklava/pull/327#discussion_r1036121644</t>
  </si>
  <si>
    <t>https://github.com/iterative/vscode-dvc/pull/2850#discussion_r1034190905</t>
  </si>
  <si>
    <t>https://github.com/WPMedia/arc-themes-blocks/pull/1556#discussion_r1045712585</t>
  </si>
  <si>
    <t>https://github.com/storybookjs/storybook/pull/19952#issuecomment-1326875286</t>
  </si>
  <si>
    <t>https://github.com/ni/nimble/pull/834#discussion_r1034043175</t>
  </si>
  <si>
    <t>https://github.com/sbb-design-systems/lyne-components/pull/1461#discussion_r1034925705</t>
  </si>
  <si>
    <t>https://github.com/Khan/wonder-blocks/pull/1645#discussion_r1016940226</t>
  </si>
  <si>
    <t>https://github.com/guardian/dotcom-rendering/pull/6405#issuecomment-1308808154</t>
  </si>
  <si>
    <t>https://github.com/wellcomecollection/wellcomecollection.org/pull/8945#discussion_r1037122436</t>
  </si>
  <si>
    <t>https://github.com/DouyinFE/semi-design/pull/1317#issuecomment-1339101503</t>
  </si>
  <si>
    <t>https://github.com/storybookjs/storybook/pull/20359#issuecomment-1361050002</t>
  </si>
  <si>
    <t>https://github.com/ni/nimble/pull/927#discussion_r1050858002</t>
  </si>
  <si>
    <t>https://github.com/chanzuckerberg/edu-design-system/pull/1440#issuecomment-1357892871</t>
  </si>
  <si>
    <t>https://github.com/chanzuckerberg/edu-design-system/pull/1440#issuecomment-1358114979</t>
  </si>
  <si>
    <t>https://github.com/opengovsg/isomer/pull/1144#discussion_r1974730734</t>
  </si>
  <si>
    <t>https://github.com/Esri/calcite-design-system/pull/11759#issuecomment-2738116384</t>
  </si>
  <si>
    <t>https://github.com/openops-cloud/openops/pull/286#issuecomment-2750462330</t>
  </si>
  <si>
    <t>https://github.com/temporalio/ui/pull/2599#issuecomment-2730449028</t>
  </si>
  <si>
    <t>https://github.com/Khan/wonder-blocks/pull/2508#discussion_r2006483914</t>
  </si>
  <si>
    <t>https://github.com/Khan/wonder-blocks/pull/2508#discussion_r2008301713</t>
  </si>
  <si>
    <t>https://github.com/ory/elements/pull/371#discussion_r1977424201</t>
  </si>
  <si>
    <t>https://github.com/nl-design-system/denhaag/pull/1709#issuecomment-2703653274</t>
  </si>
  <si>
    <t>https://github.com/adobe/spectrum-css/pull/3593#issuecomment-2693948041</t>
  </si>
  <si>
    <t>https://github.com/nodejs/nodejs.org/pull/7638#issuecomment-2795597092</t>
  </si>
  <si>
    <t>https://github.com/Khan/wonder-blocks/pull/2563#discussion_r2049478574</t>
  </si>
  <si>
    <t>https://github.com/nodejs/nodejs.org/pull/7754#issuecomment-2888992525</t>
  </si>
  <si>
    <t>https://github.com/nodejs/nodejs.org/pull/7754#issuecomment-2889053424</t>
  </si>
  <si>
    <t>https://github.com/nodejs/nodejs.org/pull/7754#issuecomment-2889218109</t>
  </si>
  <si>
    <t>https://github.com/coder/coder/pull/17822#issuecomment-2884484097</t>
  </si>
  <si>
    <t>https://github.com/storacha/bluesky-backup-webapp-server/pull/171#discussion_r2096028845</t>
  </si>
  <si>
    <t>https://github.com/Khan/wonder-blocks/pull/2602#discussion_r2098766914</t>
  </si>
  <si>
    <t>https://github.com/Khan/wonder-blocks/pull/2602#discussion_r2103548556</t>
  </si>
  <si>
    <t>https://github.com/Khan/wonder-blocks/pull/2600#issuecomment-2887722760</t>
  </si>
  <si>
    <t>https://github.com/recharts/recharts/pull/6008#issuecomment-3004356312</t>
  </si>
  <si>
    <t>https://github.com/Khan/wonder-blocks/pull/2661#discussion_r2150341785</t>
  </si>
  <si>
    <t>https://github.com/coder/coder/pull/18445#discussion_r2157012512</t>
  </si>
  <si>
    <t>https://github.com/Esri/calcite-design-system/pull/12595#issuecomment-3134461611</t>
  </si>
  <si>
    <t>https://github.com/kiva/kv-ui-elements/pull/597#issuecomment-3050388713</t>
  </si>
  <si>
    <t>https://github.com/Khan/perseus/pull/2728#discussion_r2226684249</t>
  </si>
  <si>
    <t>https://github.com/recharts/recharts/pull/6059#issuecomment-3037435884</t>
  </si>
  <si>
    <t>https://github.com/Khan/wonder-blocks/pull/2715#issuecomment-3104643517</t>
  </si>
  <si>
    <t>https://github.com/Khan/wonder-blocks/pull/2766#discussion_r2294739847</t>
  </si>
  <si>
    <t>https://github.com/Khan/wonder-blocks/pull/2758#discussion_r2279534507</t>
  </si>
  <si>
    <t>https://github.com/coder/coder/pull/19753#discussion_r2380229424</t>
  </si>
  <si>
    <t>https://github.com/adobe/react-spectrum/pull/8893#issuecomment-3314117225</t>
  </si>
  <si>
    <t>https://github.com/opengovsg/isomer/pull/1585#issuecomment-3274242189</t>
  </si>
  <si>
    <t>https://github.com/Khan/wonder-blocks/pull/2786#discussion_r2349918819</t>
  </si>
  <si>
    <t>https://github.com/Khan/wonder-blocks/pull/2786#discussion_r2353846205</t>
  </si>
  <si>
    <t>https://github.com/mswjs/msw-storybook-addon/pull/22#discussion_r602729163</t>
  </si>
  <si>
    <t>https://github.com/storybookjs/storybook/pull/14528#issuecomment-818063376</t>
  </si>
  <si>
    <t>https://github.com/storybookjs/storybook/pull/15080#issuecomment-850596423</t>
  </si>
  <si>
    <t>https://github.com/storybookjs/storybook/pull/15080#issuecomment-850776321</t>
  </si>
  <si>
    <t>https://github.com/storybookjs/storybook/pull/15080#issuecomment-870014559</t>
  </si>
  <si>
    <t>https://github.com/nickooms/learnstorybook-design-system/pull/1#issuecomment-849190817</t>
  </si>
  <si>
    <t>https://github.com/adobe/react-spectrum/pull/2515#issuecomment-966653132</t>
  </si>
  <si>
    <t>https://github.com/adobe/react-spectrum/pull/2515#issuecomment-966699322</t>
  </si>
  <si>
    <t>https://github.com/ni/nimble/pull/260#discussion_r784963783</t>
  </si>
  <si>
    <t>https://github.com/Workday/canvas-kit/pull/1426#discussion_r787954027</t>
  </si>
  <si>
    <t>https://github.com/storybookjs/storybook/pull/17756#issuecomment-1246339422</t>
  </si>
  <si>
    <t>https://github.com/guardian/source/pull/1307#discussion_r836569925</t>
  </si>
  <si>
    <t>https://github.com/hackworthltd/primer-app/pull/332#issuecomment-1120316930</t>
  </si>
  <si>
    <t>https://github.com/jpmorganchase/salt-ds/pull/154#issuecomment-1148346047</t>
  </si>
  <si>
    <t>https://github.com/twilio-labs/paste/pull/2602#issuecomment-1261199307</t>
  </si>
  <si>
    <t>https://github.com/twilio-labs/paste/pull/2602#issuecomment-1261201874</t>
  </si>
  <si>
    <t>https://github.com/e-gov/cvi/pull/113#discussion_r1234043008</t>
  </si>
  <si>
    <t>https://github.com/ithaka/pharos/pull/570#issuecomment-1986490667</t>
  </si>
  <si>
    <t>https://github.com/homebound-team/beam/pull/900#issuecomment-1638520839</t>
  </si>
  <si>
    <t>https://github.com/backstage/backstage/pull/21482#issuecomment-1824354502</t>
  </si>
  <si>
    <t>https://github.com/coder/coder/pull/11609#discussion_r1455741535</t>
  </si>
  <si>
    <t>https://github.com/recharts/recharts/pull/4561#discussion_r1608891107</t>
  </si>
  <si>
    <t>https://github.com/ni/nimble/pull/2341#discussion_r1717040579</t>
  </si>
  <si>
    <t>https://github.com/4A2RfF5Q5x/learnstorybook-design-system/pull/2#issuecomment-2329949783</t>
  </si>
  <si>
    <t>https://github.com/nulogy/design-system/pull/1447#issuecomment-2402654032</t>
  </si>
  <si>
    <t>https://github.com/Esri/calcite-design-system/pull/10724#discussion_r1841150927</t>
  </si>
  <si>
    <t>https://github.com/coder/coder/pull/16020#issuecomment-2569139239</t>
  </si>
  <si>
    <t>https://github.com/sparkdotfi/spark-app/pull/82#issuecomment-2158348729</t>
  </si>
  <si>
    <t>https://github.com/sparkdotfi/spark-app/pull/334#discussion_r1793320556</t>
  </si>
  <si>
    <t>https://github.com/sparkdotfi/spark-app/pull/404#discussion_r1826323106</t>
  </si>
  <si>
    <t>https://github.com/tablecheck/tablekit/pull/122#issuecomment-1257712016</t>
  </si>
  <si>
    <t>←これはURLが見えない</t>
  </si>
  <si>
    <t>これは前のやつのclosed以外を弾いたやつかも．．？みてopenは弾いていると思うけどclosedは入ってるかも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</si>
  <si>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</si>
  <si>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PR</t>
  </si>
  <si>
    <t>LABEL</t>
  </si>
  <si>
    <t>PR_URL</t>
  </si>
  <si>
    <t>memo</t>
  </si>
  <si>
    <t>Menuタイトルのdropdownが開かない</t>
  </si>
  <si>
    <t>StorybookでCSSの色を上書きしたいのに、サイト本体の設定が読み込まれてしまい、意図した色にならない</t>
  </si>
  <si>
    <t>checkboxの空白が増えてる</t>
  </si>
  <si>
    <t>コード変更が，余白にも影響してる</t>
  </si>
  <si>
    <t>ストーリーブックがreadOnlyになったので変更依頼を出してる</t>
  </si>
  <si>
    <t>画像が勝手にトリミングされてる</t>
  </si>
  <si>
    <t>Chromatic側のスナップショット生成の問題</t>
  </si>
  <si>
    <t>一部のアイテムがずれてる</t>
  </si>
  <si>
    <t>CHromaticが開かない</t>
  </si>
  <si>
    <t>上と同じやつ？</t>
  </si>
  <si>
    <t>テストを増やすべきっていうコメント，リンクに問題はなさそう</t>
  </si>
  <si>
    <t>テキストのフォントを確認するだけ，リグレッションを検出してるわけではなさそう</t>
  </si>
  <si>
    <t>chromaticのバグ？</t>
  </si>
  <si>
    <t>PRのコメント参照</t>
  </si>
  <si>
    <t>Label still shows preset 1 but the value in the form is that of preset 2.</t>
  </si>
  <si>
    <t>コレはchromaticとかフロントエンドの問題というよりは，シナリオを修正すべきだと提案してるだけ</t>
  </si>
  <si>
    <t>コレはchromaticとかフロントエンドの問題というよりは，シナリオを消すべきだと提案してるだけ</t>
  </si>
  <si>
    <t>スナップショットの変更</t>
  </si>
  <si>
    <t>リグレッションの問題ではなく，アクセシビリティ改善の議論をしてる</t>
  </si>
  <si>
    <t>現在のスナップショットがテストの目的を果たしていない</t>
  </si>
  <si>
    <t>差分がない気がする</t>
  </si>
  <si>
    <t>Labelの設定を変更したため起こったVRT</t>
  </si>
  <si>
    <t>LABEL(MIKU)</t>
  </si>
  <si>
    <t>LABEL (Horikawa)</t>
  </si>
  <si>
    <t>Conflict or no</t>
  </si>
  <si>
    <t>LABEL(Kashiwa)</t>
  </si>
  <si>
    <t>FINAL</t>
  </si>
  <si>
    <t>https://github.com/Khan/wonder-blocks/pull/2689#discussion_r2172226608</t>
  </si>
  <si>
    <t>https://github.com/Sage/carbon/pull/7507#discussion_r2318309074</t>
  </si>
  <si>
    <t>Category</t>
  </si>
  <si>
    <t>Layout</t>
  </si>
  <si>
    <t>Appearance</t>
  </si>
  <si>
    <t>Color</t>
  </si>
  <si>
    <t>Text</t>
  </si>
  <si>
    <t>State</t>
  </si>
  <si>
    <t>Test</t>
  </si>
  <si>
    <t>Image</t>
  </si>
  <si>
    <t>Valid Total</t>
  </si>
  <si>
    <t xml:space="preserve">Invalid Total </t>
  </si>
  <si>
    <t>Total</t>
  </si>
  <si>
    <t>duplicate link</t>
  </si>
  <si>
    <t>Inaccesible</t>
  </si>
  <si>
    <t>lack of context</t>
  </si>
  <si>
    <t>new story</t>
  </si>
  <si>
    <t>error</t>
  </si>
  <si>
    <t>重複を避けるため，返信内のリンクは対象外</t>
  </si>
  <si>
    <t>アクセスできないくて判断できないものは対象外</t>
  </si>
  <si>
    <t>クロマティックのエラーで表示できなく判断できないものは対象外</t>
  </si>
  <si>
    <t>新しいストーリーは差異の検出をしないので対象外</t>
  </si>
  <si>
    <t>VRTに関係ない議論は対象外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</si>
</sst>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  <name val="Arial"/>
    </font>
    <font>
      <u/>
      <color rgb="FF0000FF"/>
    </font>
    <font>
      <u/>
      <color rgb="FF0000FF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Font="1"/>
    <xf borderId="0" fillId="0" fontId="5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4" fontId="1" numFmtId="0" xfId="0" applyFont="1"/>
    <xf borderId="0" fillId="6" fontId="1" numFmtId="0" xfId="0" applyFont="1"/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E69138"/>
          <bgColor rgb="FFE6913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Esri/calcite-design-system/pull/7568" TargetMode="External"/><Relationship Id="rId190" Type="http://schemas.openxmlformats.org/officeDocument/2006/relationships/hyperlink" Target="https://github.com/storybookjs/storybook/pull/15556" TargetMode="External"/><Relationship Id="rId42" Type="http://schemas.openxmlformats.org/officeDocument/2006/relationships/hyperlink" Target="https://github.com/NeurodataWithoutBorders/nwb-guide/pull/305" TargetMode="External"/><Relationship Id="rId41" Type="http://schemas.openxmlformats.org/officeDocument/2006/relationships/hyperlink" Target="https://github.com/epicmaxco/vuestic-ui/pull/3729" TargetMode="External"/><Relationship Id="rId44" Type="http://schemas.openxmlformats.org/officeDocument/2006/relationships/hyperlink" Target="https://github.com/guardian/dotcom-rendering/pull/8478" TargetMode="External"/><Relationship Id="rId194" Type="http://schemas.openxmlformats.org/officeDocument/2006/relationships/hyperlink" Target="https://github.com/sberdevices/plasma/pull/676" TargetMode="External"/><Relationship Id="rId43" Type="http://schemas.openxmlformats.org/officeDocument/2006/relationships/hyperlink" Target="https://github.com/solid-design-system/solid/pull/318" TargetMode="External"/><Relationship Id="rId193" Type="http://schemas.openxmlformats.org/officeDocument/2006/relationships/hyperlink" Target="https://github.com/WPMedia/arc-themes-blocks/pull/1044" TargetMode="External"/><Relationship Id="rId46" Type="http://schemas.openxmlformats.org/officeDocument/2006/relationships/hyperlink" Target="https://github.com/adobe/react-spectrum/pull/4972" TargetMode="External"/><Relationship Id="rId192" Type="http://schemas.openxmlformats.org/officeDocument/2006/relationships/hyperlink" Target="https://github.com/gravitee-io/gravitee-ui-components/pull/401" TargetMode="External"/><Relationship Id="rId45" Type="http://schemas.openxmlformats.org/officeDocument/2006/relationships/hyperlink" Target="https://github.com/guardian/dotcom-rendering/pull/8478" TargetMode="External"/><Relationship Id="rId191" Type="http://schemas.openxmlformats.org/officeDocument/2006/relationships/hyperlink" Target="https://github.com/contentful/forma-36/pull/1093" TargetMode="External"/><Relationship Id="rId48" Type="http://schemas.openxmlformats.org/officeDocument/2006/relationships/hyperlink" Target="https://github.com/chromaui/addon-visual-tests/pull/69" TargetMode="External"/><Relationship Id="rId187" Type="http://schemas.openxmlformats.org/officeDocument/2006/relationships/hyperlink" Target="https://github.com/ntls-io/nautilus-wallet/pull/23" TargetMode="External"/><Relationship Id="rId47" Type="http://schemas.openxmlformats.org/officeDocument/2006/relationships/hyperlink" Target="https://github.com/guardian/dotcom-rendering/pull/8633" TargetMode="External"/><Relationship Id="rId186" Type="http://schemas.openxmlformats.org/officeDocument/2006/relationships/hyperlink" Target="https://github.com/ntls-io/nautilus-wallet/pull/28" TargetMode="External"/><Relationship Id="rId185" Type="http://schemas.openxmlformats.org/officeDocument/2006/relationships/hyperlink" Target="https://github.com/ntls-io/nautilus-wallet/pull/28" TargetMode="External"/><Relationship Id="rId49" Type="http://schemas.openxmlformats.org/officeDocument/2006/relationships/hyperlink" Target="https://github.com/storybookjs/storybook/pull/24146" TargetMode="External"/><Relationship Id="rId184" Type="http://schemas.openxmlformats.org/officeDocument/2006/relationships/hyperlink" Target="https://github.com/microsoft/iot-cardboard-js/pull/78" TargetMode="External"/><Relationship Id="rId189" Type="http://schemas.openxmlformats.org/officeDocument/2006/relationships/hyperlink" Target="https://github.com/WPMedia/arc-themes-blocks/pull/1014" TargetMode="External"/><Relationship Id="rId188" Type="http://schemas.openxmlformats.org/officeDocument/2006/relationships/hyperlink" Target="https://github.com/cultureamp/kaizen-design-system/pull/1800" TargetMode="External"/><Relationship Id="rId31" Type="http://schemas.openxmlformats.org/officeDocument/2006/relationships/hyperlink" Target="https://github.com/contentful/forma-36/pull/2498" TargetMode="External"/><Relationship Id="rId30" Type="http://schemas.openxmlformats.org/officeDocument/2006/relationships/hyperlink" Target="https://github.com/contentful/forma-36/pull/2498" TargetMode="External"/><Relationship Id="rId33" Type="http://schemas.openxmlformats.org/officeDocument/2006/relationships/hyperlink" Target="https://github.com/Sage-Bionetworks/synapse-web-monorepo/pull/319" TargetMode="External"/><Relationship Id="rId183" Type="http://schemas.openxmlformats.org/officeDocument/2006/relationships/hyperlink" Target="https://github.com/getappmap/appmap-js/pull/255" TargetMode="External"/><Relationship Id="rId32" Type="http://schemas.openxmlformats.org/officeDocument/2006/relationships/hyperlink" Target="https://github.com/ni/nimble/pull/1335" TargetMode="External"/><Relationship Id="rId182" Type="http://schemas.openxmlformats.org/officeDocument/2006/relationships/hyperlink" Target="https://github.com/adobe/react-spectrum/pull/2057" TargetMode="External"/><Relationship Id="rId35" Type="http://schemas.openxmlformats.org/officeDocument/2006/relationships/hyperlink" Target="https://github.com/contentful/forma-36/pull/2520" TargetMode="External"/><Relationship Id="rId181" Type="http://schemas.openxmlformats.org/officeDocument/2006/relationships/hyperlink" Target="https://github.com/adobe/react-spectrum/pull/2057" TargetMode="External"/><Relationship Id="rId34" Type="http://schemas.openxmlformats.org/officeDocument/2006/relationships/hyperlink" Target="https://github.com/chromaui/addon-visual-tests/pull/22" TargetMode="External"/><Relationship Id="rId180" Type="http://schemas.openxmlformats.org/officeDocument/2006/relationships/hyperlink" Target="https://github.com/grommet/grommet/pull/5213" TargetMode="External"/><Relationship Id="rId37" Type="http://schemas.openxmlformats.org/officeDocument/2006/relationships/hyperlink" Target="https://github.com/isomerpages/isomercms-frontend/pull/1435" TargetMode="External"/><Relationship Id="rId176" Type="http://schemas.openxmlformats.org/officeDocument/2006/relationships/hyperlink" Target="https://github.com/storybookjs/storybook/pull/15059" TargetMode="External"/><Relationship Id="rId297" Type="http://schemas.openxmlformats.org/officeDocument/2006/relationships/hyperlink" Target="https://github.com/WPMedia/arc-themes-blocks/pull/1556" TargetMode="External"/><Relationship Id="rId36" Type="http://schemas.openxmlformats.org/officeDocument/2006/relationships/hyperlink" Target="https://github.com/isomerpages/isomercms-frontend/pull/1398" TargetMode="External"/><Relationship Id="rId175" Type="http://schemas.openxmlformats.org/officeDocument/2006/relationships/hyperlink" Target="https://github.com/metmuseum/marble/pull/121" TargetMode="External"/><Relationship Id="rId296" Type="http://schemas.openxmlformats.org/officeDocument/2006/relationships/hyperlink" Target="https://github.com/iterative/vscode-dvc/pull/2850" TargetMode="External"/><Relationship Id="rId39" Type="http://schemas.openxmlformats.org/officeDocument/2006/relationships/hyperlink" Target="https://github.com/Esri/calcite-design-system/pull/7568" TargetMode="External"/><Relationship Id="rId174" Type="http://schemas.openxmlformats.org/officeDocument/2006/relationships/hyperlink" Target="https://github.com/homebound-team/beam/pull/61" TargetMode="External"/><Relationship Id="rId295" Type="http://schemas.openxmlformats.org/officeDocument/2006/relationships/hyperlink" Target="https://github.com/Trendyol/baklava/pull/327" TargetMode="External"/><Relationship Id="rId38" Type="http://schemas.openxmlformats.org/officeDocument/2006/relationships/hyperlink" Target="https://github.com/isomerpages/isomercms-frontend/pull/1396" TargetMode="External"/><Relationship Id="rId173" Type="http://schemas.openxmlformats.org/officeDocument/2006/relationships/hyperlink" Target="https://github.com/storybookjs/storybook/pull/14172" TargetMode="External"/><Relationship Id="rId294" Type="http://schemas.openxmlformats.org/officeDocument/2006/relationships/hyperlink" Target="https://github.com/guardian/dotcom-rendering/pull/6235" TargetMode="External"/><Relationship Id="rId179" Type="http://schemas.openxmlformats.org/officeDocument/2006/relationships/hyperlink" Target="https://github.com/storybookjs/storybook/pull/14820" TargetMode="External"/><Relationship Id="rId178" Type="http://schemas.openxmlformats.org/officeDocument/2006/relationships/hyperlink" Target="https://github.com/WPMedia/arc-themes-blocks/pull/862" TargetMode="External"/><Relationship Id="rId299" Type="http://schemas.openxmlformats.org/officeDocument/2006/relationships/hyperlink" Target="https://github.com/ni/nimble/pull/834" TargetMode="External"/><Relationship Id="rId177" Type="http://schemas.openxmlformats.org/officeDocument/2006/relationships/hyperlink" Target="https://github.com/ithaka/pharos/pull/36" TargetMode="External"/><Relationship Id="rId298" Type="http://schemas.openxmlformats.org/officeDocument/2006/relationships/hyperlink" Target="https://github.com/storybookjs/storybook/pull/19952" TargetMode="External"/><Relationship Id="rId20" Type="http://schemas.openxmlformats.org/officeDocument/2006/relationships/hyperlink" Target="https://github.com/coder/coder/pull/7210" TargetMode="External"/><Relationship Id="rId22" Type="http://schemas.openxmlformats.org/officeDocument/2006/relationships/hyperlink" Target="https://github.com/forkfacts/forkfacts-v2/pull/26" TargetMode="External"/><Relationship Id="rId21" Type="http://schemas.openxmlformats.org/officeDocument/2006/relationships/hyperlink" Target="https://github.com/coder/coder/pull/7210" TargetMode="External"/><Relationship Id="rId24" Type="http://schemas.openxmlformats.org/officeDocument/2006/relationships/hyperlink" Target="https://github.com/ForgeRock/forgerock-web-login-framework/pull/121" TargetMode="External"/><Relationship Id="rId23" Type="http://schemas.openxmlformats.org/officeDocument/2006/relationships/hyperlink" Target="https://github.com/storybookjs/storybook/pull/22336" TargetMode="External"/><Relationship Id="rId26" Type="http://schemas.openxmlformats.org/officeDocument/2006/relationships/hyperlink" Target="https://github.com/danskernesdigitalebibliotek/dpl-design-system/pull/239" TargetMode="External"/><Relationship Id="rId25" Type="http://schemas.openxmlformats.org/officeDocument/2006/relationships/hyperlink" Target="https://github.com/ForgeRock/forgerock-web-login-framework/pull/121" TargetMode="External"/><Relationship Id="rId28" Type="http://schemas.openxmlformats.org/officeDocument/2006/relationships/hyperlink" Target="https://github.com/input-output-hk/lace/pull/128" TargetMode="External"/><Relationship Id="rId27" Type="http://schemas.openxmlformats.org/officeDocument/2006/relationships/hyperlink" Target="https://github.com/NeurodataWithoutBorders/nwb-guide/pull/219" TargetMode="External"/><Relationship Id="rId29" Type="http://schemas.openxmlformats.org/officeDocument/2006/relationships/hyperlink" Target="https://github.com/input-output-hk/lace/pull/128" TargetMode="External"/><Relationship Id="rId11" Type="http://schemas.openxmlformats.org/officeDocument/2006/relationships/hyperlink" Target="https://github.com/adobe/react-spectrum/pull/4243" TargetMode="External"/><Relationship Id="rId10" Type="http://schemas.openxmlformats.org/officeDocument/2006/relationships/hyperlink" Target="https://github.com/ithaka/pharos/pull/503" TargetMode="External"/><Relationship Id="rId13" Type="http://schemas.openxmlformats.org/officeDocument/2006/relationships/hyperlink" Target="https://github.com/NeurodataWithoutBorders/nwb-guide/pull/74" TargetMode="External"/><Relationship Id="rId12" Type="http://schemas.openxmlformats.org/officeDocument/2006/relationships/hyperlink" Target="https://github.com/NeurodataWithoutBorders/nwb-guide/pull/74" TargetMode="External"/><Relationship Id="rId15" Type="http://schemas.openxmlformats.org/officeDocument/2006/relationships/hyperlink" Target="https://github.com/contentful/forma-36/pull/2436" TargetMode="External"/><Relationship Id="rId198" Type="http://schemas.openxmlformats.org/officeDocument/2006/relationships/hyperlink" Target="https://github.com/WPMedia/arc-themes-blocks/pull/1062" TargetMode="External"/><Relationship Id="rId14" Type="http://schemas.openxmlformats.org/officeDocument/2006/relationships/hyperlink" Target="https://github.com/seek-oss/braid-design-system/pull/1240" TargetMode="External"/><Relationship Id="rId197" Type="http://schemas.openxmlformats.org/officeDocument/2006/relationships/hyperlink" Target="https://github.com/WPMedia/arc-themes-blocks/pull/1019" TargetMode="External"/><Relationship Id="rId17" Type="http://schemas.openxmlformats.org/officeDocument/2006/relationships/hyperlink" Target="https://github.com/contentful/forma-36/pull/2430" TargetMode="External"/><Relationship Id="rId196" Type="http://schemas.openxmlformats.org/officeDocument/2006/relationships/hyperlink" Target="https://github.com/WPMedia/arc-themes-blocks/pull/1019" TargetMode="External"/><Relationship Id="rId16" Type="http://schemas.openxmlformats.org/officeDocument/2006/relationships/hyperlink" Target="https://github.com/contentful/forma-36/pull/2436" TargetMode="External"/><Relationship Id="rId195" Type="http://schemas.openxmlformats.org/officeDocument/2006/relationships/hyperlink" Target="https://github.com/sberdevices/plasma/pull/676" TargetMode="External"/><Relationship Id="rId19" Type="http://schemas.openxmlformats.org/officeDocument/2006/relationships/hyperlink" Target="https://github.com/livechat/design-system/pull/518" TargetMode="External"/><Relationship Id="rId18" Type="http://schemas.openxmlformats.org/officeDocument/2006/relationships/hyperlink" Target="https://github.com/sbb-design-systems/lyne-components/pull/1691" TargetMode="External"/><Relationship Id="rId199" Type="http://schemas.openxmlformats.org/officeDocument/2006/relationships/hyperlink" Target="https://github.com/guardian/gateway/pull/791" TargetMode="External"/><Relationship Id="rId84" Type="http://schemas.openxmlformats.org/officeDocument/2006/relationships/hyperlink" Target="https://github.com/kufu/smarthr-ui/pull/4302" TargetMode="External"/><Relationship Id="rId83" Type="http://schemas.openxmlformats.org/officeDocument/2006/relationships/hyperlink" Target="https://github.com/Esri/calcite-design-system/pull/8786" TargetMode="External"/><Relationship Id="rId86" Type="http://schemas.openxmlformats.org/officeDocument/2006/relationships/hyperlink" Target="https://github.com/department-of-veterans-affairs/component-library/pull/1096" TargetMode="External"/><Relationship Id="rId85" Type="http://schemas.openxmlformats.org/officeDocument/2006/relationships/hyperlink" Target="https://github.com/storybookjs/storybook/pull/26254" TargetMode="External"/><Relationship Id="rId88" Type="http://schemas.openxmlformats.org/officeDocument/2006/relationships/hyperlink" Target="https://github.com/kufu/smarthr-ui/pull/4479" TargetMode="External"/><Relationship Id="rId150" Type="http://schemas.openxmlformats.org/officeDocument/2006/relationships/hyperlink" Target="https://github.com/fortanix/baklava/pull/54" TargetMode="External"/><Relationship Id="rId271" Type="http://schemas.openxmlformats.org/officeDocument/2006/relationships/hyperlink" Target="https://github.com/cerebrl/forgerock-web-login-framework/pull/6" TargetMode="External"/><Relationship Id="rId87" Type="http://schemas.openxmlformats.org/officeDocument/2006/relationships/hyperlink" Target="https://github.com/ethereum/ethereum-org-website/pull/12594" TargetMode="External"/><Relationship Id="rId270" Type="http://schemas.openxmlformats.org/officeDocument/2006/relationships/hyperlink" Target="https://github.com/WPMedia/arc-themes-components/pull/121" TargetMode="External"/><Relationship Id="rId89" Type="http://schemas.openxmlformats.org/officeDocument/2006/relationships/hyperlink" Target="https://github.com/danskernesdigitalebibliotek/dpl-design-system/pull/542" TargetMode="External"/><Relationship Id="rId80" Type="http://schemas.openxmlformats.org/officeDocument/2006/relationships/hyperlink" Target="https://github.com/danskernesdigitalebibliotek/dpl-design-system/pull/518" TargetMode="External"/><Relationship Id="rId82" Type="http://schemas.openxmlformats.org/officeDocument/2006/relationships/hyperlink" Target="https://github.com/department-of-veterans-affairs/component-library/pull/1073" TargetMode="External"/><Relationship Id="rId81" Type="http://schemas.openxmlformats.org/officeDocument/2006/relationships/hyperlink" Target="https://github.com/adobe/react-spectrum/pull/5941" TargetMode="External"/><Relationship Id="rId1" Type="http://schemas.openxmlformats.org/officeDocument/2006/relationships/hyperlink" Target="https://github.com/storybookjs/storybook/pull/20712" TargetMode="External"/><Relationship Id="rId2" Type="http://schemas.openxmlformats.org/officeDocument/2006/relationships/hyperlink" Target="https://github.com/storybookjs/storybook/pull/20712" TargetMode="External"/><Relationship Id="rId3" Type="http://schemas.openxmlformats.org/officeDocument/2006/relationships/hyperlink" Target="https://github.com/ni/nimble/pull/966" TargetMode="External"/><Relationship Id="rId149" Type="http://schemas.openxmlformats.org/officeDocument/2006/relationships/hyperlink" Target="https://github.com/Khan/wonder-blocks/pull/2363" TargetMode="External"/><Relationship Id="rId4" Type="http://schemas.openxmlformats.org/officeDocument/2006/relationships/hyperlink" Target="https://github.com/guardian/dotcom-rendering/pull/6954" TargetMode="External"/><Relationship Id="rId148" Type="http://schemas.openxmlformats.org/officeDocument/2006/relationships/hyperlink" Target="https://github.com/kufu/smarthr-ui/pull/5091" TargetMode="External"/><Relationship Id="rId269" Type="http://schemas.openxmlformats.org/officeDocument/2006/relationships/hyperlink" Target="https://github.com/coder/coder/pull/3189" TargetMode="External"/><Relationship Id="rId9" Type="http://schemas.openxmlformats.org/officeDocument/2006/relationships/hyperlink" Target="https://github.com/guardian/dotcom-rendering/pull/7128" TargetMode="External"/><Relationship Id="rId143" Type="http://schemas.openxmlformats.org/officeDocument/2006/relationships/hyperlink" Target="https://github.com/VOICEVOX/voicevox/pull/2287" TargetMode="External"/><Relationship Id="rId264" Type="http://schemas.openxmlformats.org/officeDocument/2006/relationships/hyperlink" Target="https://github.com/WPMedia/arc-themes-blocks/pull/1411" TargetMode="External"/><Relationship Id="rId142" Type="http://schemas.openxmlformats.org/officeDocument/2006/relationships/hyperlink" Target="https://github.com/Esri/calcite-design-system/pull/10621" TargetMode="External"/><Relationship Id="rId263" Type="http://schemas.openxmlformats.org/officeDocument/2006/relationships/hyperlink" Target="https://github.com/WPMedia/arc-themes-blocks/pull/1411" TargetMode="External"/><Relationship Id="rId141" Type="http://schemas.openxmlformats.org/officeDocument/2006/relationships/hyperlink" Target="https://github.com/adobe/react-spectrum/pull/7284" TargetMode="External"/><Relationship Id="rId262" Type="http://schemas.openxmlformats.org/officeDocument/2006/relationships/hyperlink" Target="https://github.com/homebound-team/beam/pull/550" TargetMode="External"/><Relationship Id="rId140" Type="http://schemas.openxmlformats.org/officeDocument/2006/relationships/hyperlink" Target="https://github.com/guardian/dotcom-rendering/pull/12298" TargetMode="External"/><Relationship Id="rId261" Type="http://schemas.openxmlformats.org/officeDocument/2006/relationships/hyperlink" Target="https://github.com/ni/nimble/pull/609" TargetMode="External"/><Relationship Id="rId5" Type="http://schemas.openxmlformats.org/officeDocument/2006/relationships/hyperlink" Target="https://github.com/GCTC-NTGC/gc-digital-talent/pull/5740" TargetMode="External"/><Relationship Id="rId147" Type="http://schemas.openxmlformats.org/officeDocument/2006/relationships/hyperlink" Target="https://github.com/opendatasoft/ods-dataviz-sdk/pull/266" TargetMode="External"/><Relationship Id="rId268" Type="http://schemas.openxmlformats.org/officeDocument/2006/relationships/hyperlink" Target="https://github.com/coder/coder/pull/3189" TargetMode="External"/><Relationship Id="rId6" Type="http://schemas.openxmlformats.org/officeDocument/2006/relationships/hyperlink" Target="https://github.com/storybookjs/storybook/pull/20995" TargetMode="External"/><Relationship Id="rId146" Type="http://schemas.openxmlformats.org/officeDocument/2006/relationships/hyperlink" Target="https://github.com/Esri/calcite-design-system/pull/10820" TargetMode="External"/><Relationship Id="rId267" Type="http://schemas.openxmlformats.org/officeDocument/2006/relationships/hyperlink" Target="https://github.com/WPMedia/arc-themes-components/pull/116" TargetMode="External"/><Relationship Id="rId7" Type="http://schemas.openxmlformats.org/officeDocument/2006/relationships/hyperlink" Target="https://github.com/guardian/dotcom-rendering/pull/7128" TargetMode="External"/><Relationship Id="rId145" Type="http://schemas.openxmlformats.org/officeDocument/2006/relationships/hyperlink" Target="https://github.com/Sage/carbon/pull/7091" TargetMode="External"/><Relationship Id="rId266" Type="http://schemas.openxmlformats.org/officeDocument/2006/relationships/hyperlink" Target="https://github.com/WPMedia/arc-themes-components/pull/116" TargetMode="External"/><Relationship Id="rId8" Type="http://schemas.openxmlformats.org/officeDocument/2006/relationships/hyperlink" Target="https://github.com/guardian/dotcom-rendering/pull/7128" TargetMode="External"/><Relationship Id="rId144" Type="http://schemas.openxmlformats.org/officeDocument/2006/relationships/hyperlink" Target="https://github.com/Longhorn-Developers/UT-Registration-Plus/pull/425" TargetMode="External"/><Relationship Id="rId265" Type="http://schemas.openxmlformats.org/officeDocument/2006/relationships/hyperlink" Target="https://github.com/WPMedia/arc-themes-blocks/pull/1411" TargetMode="External"/><Relationship Id="rId73" Type="http://schemas.openxmlformats.org/officeDocument/2006/relationships/hyperlink" Target="https://github.com/recharts/recharts/pull/4062" TargetMode="External"/><Relationship Id="rId72" Type="http://schemas.openxmlformats.org/officeDocument/2006/relationships/hyperlink" Target="https://github.com/adobe/react-spectrum/pull/5705" TargetMode="External"/><Relationship Id="rId75" Type="http://schemas.openxmlformats.org/officeDocument/2006/relationships/hyperlink" Target="https://github.com/Esri/calcite-design-system/pull/8561" TargetMode="External"/><Relationship Id="rId74" Type="http://schemas.openxmlformats.org/officeDocument/2006/relationships/hyperlink" Target="https://github.com/Esri/calcite-design-system/pull/8561" TargetMode="External"/><Relationship Id="rId77" Type="http://schemas.openxmlformats.org/officeDocument/2006/relationships/hyperlink" Target="https://github.com/NeurodataWithoutBorders/nwb-guide/pull/555" TargetMode="External"/><Relationship Id="rId260" Type="http://schemas.openxmlformats.org/officeDocument/2006/relationships/hyperlink" Target="https://github.com/coder/coder/pull/2103" TargetMode="External"/><Relationship Id="rId76" Type="http://schemas.openxmlformats.org/officeDocument/2006/relationships/hyperlink" Target="https://github.com/kufu/smarthr-ui/pull/4182" TargetMode="External"/><Relationship Id="rId79" Type="http://schemas.openxmlformats.org/officeDocument/2006/relationships/hyperlink" Target="https://github.com/ni/nimble/pull/1791" TargetMode="External"/><Relationship Id="rId78" Type="http://schemas.openxmlformats.org/officeDocument/2006/relationships/hyperlink" Target="https://github.com/storybookjs/storybook/pull/25460" TargetMode="External"/><Relationship Id="rId71" Type="http://schemas.openxmlformats.org/officeDocument/2006/relationships/hyperlink" Target="https://github.com/adobe/react-spectrum/pull/5705" TargetMode="External"/><Relationship Id="rId70" Type="http://schemas.openxmlformats.org/officeDocument/2006/relationships/hyperlink" Target="https://github.com/adobe/react-spectrum/pull/5705" TargetMode="External"/><Relationship Id="rId139" Type="http://schemas.openxmlformats.org/officeDocument/2006/relationships/hyperlink" Target="https://github.com/guardian/dotcom-rendering/pull/12298" TargetMode="External"/><Relationship Id="rId138" Type="http://schemas.openxmlformats.org/officeDocument/2006/relationships/hyperlink" Target="https://github.com/evidence-dev/evidence/pull/2511" TargetMode="External"/><Relationship Id="rId259" Type="http://schemas.openxmlformats.org/officeDocument/2006/relationships/hyperlink" Target="https://github.com/WPMedia/arc-themes-blocks/pull/1386" TargetMode="External"/><Relationship Id="rId137" Type="http://schemas.openxmlformats.org/officeDocument/2006/relationships/hyperlink" Target="https://github.com/gradio-app/gradio/pull/9260" TargetMode="External"/><Relationship Id="rId258" Type="http://schemas.openxmlformats.org/officeDocument/2006/relationships/hyperlink" Target="https://github.com/WPMedia/arc-themes-blocks/pull/1386" TargetMode="External"/><Relationship Id="rId132" Type="http://schemas.openxmlformats.org/officeDocument/2006/relationships/hyperlink" Target="https://github.com/chromaui/chromatic-e2e/pull/207" TargetMode="External"/><Relationship Id="rId253" Type="http://schemas.openxmlformats.org/officeDocument/2006/relationships/hyperlink" Target="https://github.com/GCTC-NTGC/gc-digital-talent/pull/2728" TargetMode="External"/><Relationship Id="rId131" Type="http://schemas.openxmlformats.org/officeDocument/2006/relationships/hyperlink" Target="https://github.com/guardian/dotcom-rendering/pull/12062" TargetMode="External"/><Relationship Id="rId252" Type="http://schemas.openxmlformats.org/officeDocument/2006/relationships/hyperlink" Target="https://github.com/GCTC-NTGC/gc-digital-talent/pull/2728" TargetMode="External"/><Relationship Id="rId130" Type="http://schemas.openxmlformats.org/officeDocument/2006/relationships/hyperlink" Target="https://github.com/Khan/wonder-blocks/pull/2309" TargetMode="External"/><Relationship Id="rId251" Type="http://schemas.openxmlformats.org/officeDocument/2006/relationships/hyperlink" Target="https://github.com/chanzuckerberg/edu-design-system/pull/1083" TargetMode="External"/><Relationship Id="rId250" Type="http://schemas.openxmlformats.org/officeDocument/2006/relationships/hyperlink" Target="https://github.com/WPMedia/arc-themes-blocks/pull/1365" TargetMode="External"/><Relationship Id="rId136" Type="http://schemas.openxmlformats.org/officeDocument/2006/relationships/hyperlink" Target="https://github.com/nl-design-system/rijkshuisstijl-community/pull/620" TargetMode="External"/><Relationship Id="rId257" Type="http://schemas.openxmlformats.org/officeDocument/2006/relationships/hyperlink" Target="https://github.com/WPMedia/arc-themes-blocks/pull/1386" TargetMode="External"/><Relationship Id="rId135" Type="http://schemas.openxmlformats.org/officeDocument/2006/relationships/hyperlink" Target="https://github.com/chromaui/chromatic-e2e/pull/203" TargetMode="External"/><Relationship Id="rId256" Type="http://schemas.openxmlformats.org/officeDocument/2006/relationships/hyperlink" Target="https://github.com/WPMedia/arc-themes-blocks/pull/1373" TargetMode="External"/><Relationship Id="rId134" Type="http://schemas.openxmlformats.org/officeDocument/2006/relationships/hyperlink" Target="https://github.com/Esri/calcite-design-system/pull/10343" TargetMode="External"/><Relationship Id="rId255" Type="http://schemas.openxmlformats.org/officeDocument/2006/relationships/hyperlink" Target="https://github.com/guardian/dotcom-rendering/pull/5128" TargetMode="External"/><Relationship Id="rId133" Type="http://schemas.openxmlformats.org/officeDocument/2006/relationships/hyperlink" Target="https://github.com/chromaui/chromatic-e2e/pull/207" TargetMode="External"/><Relationship Id="rId254" Type="http://schemas.openxmlformats.org/officeDocument/2006/relationships/hyperlink" Target="https://github.com/GCTC-NTGC/gc-digital-talent/pull/2728" TargetMode="External"/><Relationship Id="rId62" Type="http://schemas.openxmlformats.org/officeDocument/2006/relationships/hyperlink" Target="https://github.com/GCTC-NTGC/gc-digital-talent/pull/8405" TargetMode="External"/><Relationship Id="rId61" Type="http://schemas.openxmlformats.org/officeDocument/2006/relationships/hyperlink" Target="https://github.com/coder/coder/pull/10857" TargetMode="External"/><Relationship Id="rId64" Type="http://schemas.openxmlformats.org/officeDocument/2006/relationships/hyperlink" Target="https://github.com/sbb-design-systems/lyne-components/pull/2255" TargetMode="External"/><Relationship Id="rId63" Type="http://schemas.openxmlformats.org/officeDocument/2006/relationships/hyperlink" Target="https://github.com/daydule/frontend/pull/71" TargetMode="External"/><Relationship Id="rId66" Type="http://schemas.openxmlformats.org/officeDocument/2006/relationships/hyperlink" Target="https://github.com/adobe/spectrum-css/pull/2424" TargetMode="External"/><Relationship Id="rId172" Type="http://schemas.openxmlformats.org/officeDocument/2006/relationships/hyperlink" Target="https://github.com/storybookjs/storybook/pull/14251" TargetMode="External"/><Relationship Id="rId293" Type="http://schemas.openxmlformats.org/officeDocument/2006/relationships/hyperlink" Target="https://github.com/guardian/dotcom-rendering/pull/6258" TargetMode="External"/><Relationship Id="rId65" Type="http://schemas.openxmlformats.org/officeDocument/2006/relationships/hyperlink" Target="https://github.com/guardian/dotcom-rendering/pull/9792" TargetMode="External"/><Relationship Id="rId171" Type="http://schemas.openxmlformats.org/officeDocument/2006/relationships/hyperlink" Target="https://github.com/storybookjs/storybook/pull/14251" TargetMode="External"/><Relationship Id="rId292" Type="http://schemas.openxmlformats.org/officeDocument/2006/relationships/hyperlink" Target="https://github.com/coder/coder/pull/4810" TargetMode="External"/><Relationship Id="rId68" Type="http://schemas.openxmlformats.org/officeDocument/2006/relationships/hyperlink" Target="https://github.com/AmazeeLabs/silverback-template/pull/132" TargetMode="External"/><Relationship Id="rId170" Type="http://schemas.openxmlformats.org/officeDocument/2006/relationships/hyperlink" Target="https://github.com/cultureamp/kaizen-design-system/pull/1218" TargetMode="External"/><Relationship Id="rId291" Type="http://schemas.openxmlformats.org/officeDocument/2006/relationships/hyperlink" Target="https://github.com/cultureamp/kaizen-design-system/pull/3051" TargetMode="External"/><Relationship Id="rId67" Type="http://schemas.openxmlformats.org/officeDocument/2006/relationships/hyperlink" Target="https://github.com/AmazeeLabs/silverback-template/pull/132" TargetMode="External"/><Relationship Id="rId290" Type="http://schemas.openxmlformats.org/officeDocument/2006/relationships/hyperlink" Target="https://github.com/chanzuckerberg/edu-design-system/pull/1346" TargetMode="External"/><Relationship Id="rId60" Type="http://schemas.openxmlformats.org/officeDocument/2006/relationships/hyperlink" Target="https://github.com/guardian/support-frontend/pull/5429" TargetMode="External"/><Relationship Id="rId165" Type="http://schemas.openxmlformats.org/officeDocument/2006/relationships/hyperlink" Target="https://github.com/contentful/forma-36/pull/757" TargetMode="External"/><Relationship Id="rId286" Type="http://schemas.openxmlformats.org/officeDocument/2006/relationships/hyperlink" Target="https://github.com/storybookjs/storybook/pull/19181" TargetMode="External"/><Relationship Id="rId69" Type="http://schemas.openxmlformats.org/officeDocument/2006/relationships/hyperlink" Target="https://github.com/adobe/react-spectrum/pull/5705" TargetMode="External"/><Relationship Id="rId164" Type="http://schemas.openxmlformats.org/officeDocument/2006/relationships/hyperlink" Target="https://github.com/contentful/forma-36/pull/757" TargetMode="External"/><Relationship Id="rId285" Type="http://schemas.openxmlformats.org/officeDocument/2006/relationships/hyperlink" Target="https://github.com/storybookjs/components-marketing/pull/35" TargetMode="External"/><Relationship Id="rId163" Type="http://schemas.openxmlformats.org/officeDocument/2006/relationships/hyperlink" Target="https://github.com/storybookjs/storybook/pull/13685" TargetMode="External"/><Relationship Id="rId284" Type="http://schemas.openxmlformats.org/officeDocument/2006/relationships/hyperlink" Target="https://github.com/GCTC-NTGC/gc-digital-talent/pull/3865" TargetMode="External"/><Relationship Id="rId162" Type="http://schemas.openxmlformats.org/officeDocument/2006/relationships/hyperlink" Target="https://github.com/getappmap/appmap-js/pull/57" TargetMode="External"/><Relationship Id="rId283" Type="http://schemas.openxmlformats.org/officeDocument/2006/relationships/hyperlink" Target="https://github.com/dpc-sdp/ripple-framework/pull/224" TargetMode="External"/><Relationship Id="rId169" Type="http://schemas.openxmlformats.org/officeDocument/2006/relationships/hyperlink" Target="https://github.com/CruGlobal/mpdx-react/pull/25" TargetMode="External"/><Relationship Id="rId168" Type="http://schemas.openxmlformats.org/officeDocument/2006/relationships/hyperlink" Target="https://github.com/cultureamp/kaizen-design-system/pull/1053" TargetMode="External"/><Relationship Id="rId289" Type="http://schemas.openxmlformats.org/officeDocument/2006/relationships/hyperlink" Target="https://github.com/chanzuckerberg/edu-design-system/pull/1346" TargetMode="External"/><Relationship Id="rId167" Type="http://schemas.openxmlformats.org/officeDocument/2006/relationships/hyperlink" Target="https://github.com/cultureamp/kaizen-design-system/pull/1053" TargetMode="External"/><Relationship Id="rId288" Type="http://schemas.openxmlformats.org/officeDocument/2006/relationships/hyperlink" Target="https://github.com/chanzuckerberg/edu-design-system/pull/1322" TargetMode="External"/><Relationship Id="rId166" Type="http://schemas.openxmlformats.org/officeDocument/2006/relationships/hyperlink" Target="https://github.com/getappmap/appmap-js/pull/32" TargetMode="External"/><Relationship Id="rId287" Type="http://schemas.openxmlformats.org/officeDocument/2006/relationships/hyperlink" Target="https://github.com/chanzuckerberg/edu-design-system/pull/1322" TargetMode="External"/><Relationship Id="rId51" Type="http://schemas.openxmlformats.org/officeDocument/2006/relationships/hyperlink" Target="https://github.com/isomerpages/isomercms-frontend/pull/1620" TargetMode="External"/><Relationship Id="rId50" Type="http://schemas.openxmlformats.org/officeDocument/2006/relationships/hyperlink" Target="https://github.com/bitwarden/clients/pull/6225" TargetMode="External"/><Relationship Id="rId53" Type="http://schemas.openxmlformats.org/officeDocument/2006/relationships/hyperlink" Target="https://github.com/recharts/recharts/pull/3908" TargetMode="External"/><Relationship Id="rId52" Type="http://schemas.openxmlformats.org/officeDocument/2006/relationships/hyperlink" Target="https://github.com/Esri/calcite-design-system/pull/8055" TargetMode="External"/><Relationship Id="rId55" Type="http://schemas.openxmlformats.org/officeDocument/2006/relationships/hyperlink" Target="https://github.com/Esri/calcite-design-system/pull/8066" TargetMode="External"/><Relationship Id="rId161" Type="http://schemas.openxmlformats.org/officeDocument/2006/relationships/hyperlink" Target="https://github.com/curology/radiance-ui/pull/642" TargetMode="External"/><Relationship Id="rId282" Type="http://schemas.openxmlformats.org/officeDocument/2006/relationships/hyperlink" Target="https://github.com/storybookjs/storybook/pull/19189" TargetMode="External"/><Relationship Id="rId54" Type="http://schemas.openxmlformats.org/officeDocument/2006/relationships/hyperlink" Target="https://github.com/recharts/recharts/pull/3908" TargetMode="External"/><Relationship Id="rId160" Type="http://schemas.openxmlformats.org/officeDocument/2006/relationships/hyperlink" Target="https://github.com/Sage/carbon/pull/3498" TargetMode="External"/><Relationship Id="rId281" Type="http://schemas.openxmlformats.org/officeDocument/2006/relationships/hyperlink" Target="https://github.com/launchdarkly/launchpad-ui/pull/351" TargetMode="External"/><Relationship Id="rId57" Type="http://schemas.openxmlformats.org/officeDocument/2006/relationships/hyperlink" Target="https://github.com/storybookjs/storybook/pull/24395" TargetMode="External"/><Relationship Id="rId280" Type="http://schemas.openxmlformats.org/officeDocument/2006/relationships/hyperlink" Target="https://github.com/chanzuckerberg/sci-components/pull/236" TargetMode="External"/><Relationship Id="rId56" Type="http://schemas.openxmlformats.org/officeDocument/2006/relationships/hyperlink" Target="https://github.com/navikt/aksel/pull/2395" TargetMode="External"/><Relationship Id="rId159" Type="http://schemas.openxmlformats.org/officeDocument/2006/relationships/hyperlink" Target="https://github.com/department-of-veterans-affairs/component-library/pull/1487" TargetMode="External"/><Relationship Id="rId59" Type="http://schemas.openxmlformats.org/officeDocument/2006/relationships/hyperlink" Target="https://github.com/kufu/smarthr-ui/pull/3975" TargetMode="External"/><Relationship Id="rId154" Type="http://schemas.openxmlformats.org/officeDocument/2006/relationships/hyperlink" Target="https://github.com/coder/coder/pull/16134" TargetMode="External"/><Relationship Id="rId275" Type="http://schemas.openxmlformats.org/officeDocument/2006/relationships/hyperlink" Target="https://github.com/WPMedia/arc-themes-blocks/pull/1481" TargetMode="External"/><Relationship Id="rId58" Type="http://schemas.openxmlformats.org/officeDocument/2006/relationships/hyperlink" Target="https://github.com/kufu/smarthr-ui/pull/3975" TargetMode="External"/><Relationship Id="rId153" Type="http://schemas.openxmlformats.org/officeDocument/2006/relationships/hyperlink" Target="https://github.com/epicmaxco/vuestic-ui/pull/4451" TargetMode="External"/><Relationship Id="rId274" Type="http://schemas.openxmlformats.org/officeDocument/2006/relationships/hyperlink" Target="https://github.com/WPMedia/arc-themes-blocks/pull/1481" TargetMode="External"/><Relationship Id="rId152" Type="http://schemas.openxmlformats.org/officeDocument/2006/relationships/hyperlink" Target="https://github.com/ithaka/pharos/pull/862" TargetMode="External"/><Relationship Id="rId273" Type="http://schemas.openxmlformats.org/officeDocument/2006/relationships/hyperlink" Target="https://github.com/bitwarden/clients/pull/3372" TargetMode="External"/><Relationship Id="rId151" Type="http://schemas.openxmlformats.org/officeDocument/2006/relationships/hyperlink" Target="https://github.com/fortanix/baklava/pull/54" TargetMode="External"/><Relationship Id="rId272" Type="http://schemas.openxmlformats.org/officeDocument/2006/relationships/hyperlink" Target="https://github.com/guardian/dotcom-rendering/pull/5529" TargetMode="External"/><Relationship Id="rId158" Type="http://schemas.openxmlformats.org/officeDocument/2006/relationships/hyperlink" Target="https://github.com/serendie/serendie/pull/28" TargetMode="External"/><Relationship Id="rId279" Type="http://schemas.openxmlformats.org/officeDocument/2006/relationships/hyperlink" Target="https://github.com/razorpay/blade/pull/634" TargetMode="External"/><Relationship Id="rId157" Type="http://schemas.openxmlformats.org/officeDocument/2006/relationships/hyperlink" Target="https://github.com/Khan/wonder-blocks/pull/2441" TargetMode="External"/><Relationship Id="rId278" Type="http://schemas.openxmlformats.org/officeDocument/2006/relationships/hyperlink" Target="https://github.com/storybookjs/storybook/pull/19029" TargetMode="External"/><Relationship Id="rId156" Type="http://schemas.openxmlformats.org/officeDocument/2006/relationships/hyperlink" Target="https://github.com/Esri/calcite-design-system/pull/11215" TargetMode="External"/><Relationship Id="rId277" Type="http://schemas.openxmlformats.org/officeDocument/2006/relationships/hyperlink" Target="https://github.com/WPMedia/arc-themes-blocks/pull/1462" TargetMode="External"/><Relationship Id="rId155" Type="http://schemas.openxmlformats.org/officeDocument/2006/relationships/hyperlink" Target="https://github.com/kufu/smarthr-ui/pull/5307" TargetMode="External"/><Relationship Id="rId276" Type="http://schemas.openxmlformats.org/officeDocument/2006/relationships/hyperlink" Target="https://github.com/WPMedia/arc-themes-blocks/pull/1462" TargetMode="External"/><Relationship Id="rId107" Type="http://schemas.openxmlformats.org/officeDocument/2006/relationships/hyperlink" Target="https://github.com/recharts/recharts/pull/4542" TargetMode="External"/><Relationship Id="rId228" Type="http://schemas.openxmlformats.org/officeDocument/2006/relationships/hyperlink" Target="https://github.com/hackworthltd/primer-app/pull/213" TargetMode="External"/><Relationship Id="rId106" Type="http://schemas.openxmlformats.org/officeDocument/2006/relationships/hyperlink" Target="https://github.com/danskernesdigitalebibliotek/dpl-design-system/pull/650" TargetMode="External"/><Relationship Id="rId227" Type="http://schemas.openxmlformats.org/officeDocument/2006/relationships/hyperlink" Target="https://github.com/Workday/canvas-kit/pull/1441" TargetMode="External"/><Relationship Id="rId105" Type="http://schemas.openxmlformats.org/officeDocument/2006/relationships/hyperlink" Target="https://github.com/danskernesdigitalebibliotek/dpl-design-system/pull/650" TargetMode="External"/><Relationship Id="rId226" Type="http://schemas.openxmlformats.org/officeDocument/2006/relationships/hyperlink" Target="https://github.com/guardian/dotcom-rendering/pull/3724" TargetMode="External"/><Relationship Id="rId104" Type="http://schemas.openxmlformats.org/officeDocument/2006/relationships/hyperlink" Target="https://github.com/cloudblue/connect-ui-toolkit/pull/92" TargetMode="External"/><Relationship Id="rId225" Type="http://schemas.openxmlformats.org/officeDocument/2006/relationships/hyperlink" Target="https://github.com/Khan/wonder-blocks/pull/1257" TargetMode="External"/><Relationship Id="rId109" Type="http://schemas.openxmlformats.org/officeDocument/2006/relationships/hyperlink" Target="https://github.com/Esri/calcite-design-system/pull/9688" TargetMode="External"/><Relationship Id="rId108" Type="http://schemas.openxmlformats.org/officeDocument/2006/relationships/hyperlink" Target="https://github.com/misskey-dev/misskey/pull/13779" TargetMode="External"/><Relationship Id="rId229" Type="http://schemas.openxmlformats.org/officeDocument/2006/relationships/hyperlink" Target="https://github.com/hackworthltd/primer-app/pull/213" TargetMode="External"/><Relationship Id="rId220" Type="http://schemas.openxmlformats.org/officeDocument/2006/relationships/hyperlink" Target="https://github.com/titicacadev/triple-frontend/pull/1754" TargetMode="External"/><Relationship Id="rId341" Type="http://schemas.openxmlformats.org/officeDocument/2006/relationships/hyperlink" Target="https://github.com/adobe/react-spectrum/pull/8893" TargetMode="External"/><Relationship Id="rId340" Type="http://schemas.openxmlformats.org/officeDocument/2006/relationships/hyperlink" Target="https://github.com/coder/coder/pull/19753" TargetMode="External"/><Relationship Id="rId103" Type="http://schemas.openxmlformats.org/officeDocument/2006/relationships/hyperlink" Target="https://github.com/cloudblue/connect-ui-toolkit/pull/92" TargetMode="External"/><Relationship Id="rId224" Type="http://schemas.openxmlformats.org/officeDocument/2006/relationships/hyperlink" Target="https://github.com/Workday/canvas-kit/pull/1396" TargetMode="External"/><Relationship Id="rId345" Type="http://schemas.openxmlformats.org/officeDocument/2006/relationships/drawing" Target="../drawings/drawing1.xml"/><Relationship Id="rId102" Type="http://schemas.openxmlformats.org/officeDocument/2006/relationships/hyperlink" Target="https://github.com/misskey-dev/misskey/pull/13830" TargetMode="External"/><Relationship Id="rId223" Type="http://schemas.openxmlformats.org/officeDocument/2006/relationships/hyperlink" Target="https://github.com/homebound-team/beam/pull/409" TargetMode="External"/><Relationship Id="rId344" Type="http://schemas.openxmlformats.org/officeDocument/2006/relationships/hyperlink" Target="https://github.com/Khan/wonder-blocks/pull/2786" TargetMode="External"/><Relationship Id="rId101" Type="http://schemas.openxmlformats.org/officeDocument/2006/relationships/hyperlink" Target="https://github.com/kufu/smarthr-ui/pull/4626" TargetMode="External"/><Relationship Id="rId222" Type="http://schemas.openxmlformats.org/officeDocument/2006/relationships/hyperlink" Target="https://github.com/homebound-team/beam/pull/409" TargetMode="External"/><Relationship Id="rId343" Type="http://schemas.openxmlformats.org/officeDocument/2006/relationships/hyperlink" Target="https://github.com/Khan/wonder-blocks/pull/2786" TargetMode="External"/><Relationship Id="rId100" Type="http://schemas.openxmlformats.org/officeDocument/2006/relationships/hyperlink" Target="https://github.com/appsmithorg/appsmith/pull/32857" TargetMode="External"/><Relationship Id="rId221" Type="http://schemas.openxmlformats.org/officeDocument/2006/relationships/hyperlink" Target="https://github.com/titicacadev/triple-frontend/pull/1754" TargetMode="External"/><Relationship Id="rId342" Type="http://schemas.openxmlformats.org/officeDocument/2006/relationships/hyperlink" Target="https://github.com/opengovsg/isomer/pull/1585" TargetMode="External"/><Relationship Id="rId217" Type="http://schemas.openxmlformats.org/officeDocument/2006/relationships/hyperlink" Target="https://github.com/dpc-sdp/ripple/pull/1111" TargetMode="External"/><Relationship Id="rId338" Type="http://schemas.openxmlformats.org/officeDocument/2006/relationships/hyperlink" Target="https://github.com/Khan/wonder-blocks/pull/2766" TargetMode="External"/><Relationship Id="rId216" Type="http://schemas.openxmlformats.org/officeDocument/2006/relationships/hyperlink" Target="https://github.com/cultureamp/kaizen-design-system/pull/2300" TargetMode="External"/><Relationship Id="rId337" Type="http://schemas.openxmlformats.org/officeDocument/2006/relationships/hyperlink" Target="https://github.com/Khan/wonder-blocks/pull/2715" TargetMode="External"/><Relationship Id="rId215" Type="http://schemas.openxmlformats.org/officeDocument/2006/relationships/hyperlink" Target="https://github.com/guardian/dotcom-rendering/pull/3645" TargetMode="External"/><Relationship Id="rId336" Type="http://schemas.openxmlformats.org/officeDocument/2006/relationships/hyperlink" Target="https://github.com/recharts/recharts/pull/6059" TargetMode="External"/><Relationship Id="rId214" Type="http://schemas.openxmlformats.org/officeDocument/2006/relationships/hyperlink" Target="https://github.com/guardian/dotcom-rendering/pull/3645" TargetMode="External"/><Relationship Id="rId335" Type="http://schemas.openxmlformats.org/officeDocument/2006/relationships/hyperlink" Target="https://github.com/Khan/perseus/pull/2728" TargetMode="External"/><Relationship Id="rId219" Type="http://schemas.openxmlformats.org/officeDocument/2006/relationships/hyperlink" Target="https://github.com/titicacadev/triple-frontend/pull/1762" TargetMode="External"/><Relationship Id="rId218" Type="http://schemas.openxmlformats.org/officeDocument/2006/relationships/hyperlink" Target="https://github.com/input-output-hk/daedalus/pull/2776" TargetMode="External"/><Relationship Id="rId339" Type="http://schemas.openxmlformats.org/officeDocument/2006/relationships/hyperlink" Target="https://github.com/Khan/wonder-blocks/pull/2758" TargetMode="External"/><Relationship Id="rId330" Type="http://schemas.openxmlformats.org/officeDocument/2006/relationships/hyperlink" Target="https://github.com/recharts/recharts/pull/6008" TargetMode="External"/><Relationship Id="rId213" Type="http://schemas.openxmlformats.org/officeDocument/2006/relationships/hyperlink" Target="https://github.com/ntls-io/nautilus-wallet/pull/136" TargetMode="External"/><Relationship Id="rId334" Type="http://schemas.openxmlformats.org/officeDocument/2006/relationships/hyperlink" Target="https://github.com/kiva/kv-ui-elements/pull/597" TargetMode="External"/><Relationship Id="rId212" Type="http://schemas.openxmlformats.org/officeDocument/2006/relationships/hyperlink" Target="https://github.com/hackworthltd/primer-app/pull/112" TargetMode="External"/><Relationship Id="rId333" Type="http://schemas.openxmlformats.org/officeDocument/2006/relationships/hyperlink" Target="https://github.com/Esri/calcite-design-system/pull/12595" TargetMode="External"/><Relationship Id="rId211" Type="http://schemas.openxmlformats.org/officeDocument/2006/relationships/hyperlink" Target="https://github.com/guardian/dotcom-rendering/pull/3519" TargetMode="External"/><Relationship Id="rId332" Type="http://schemas.openxmlformats.org/officeDocument/2006/relationships/hyperlink" Target="https://github.com/coder/coder/pull/18445" TargetMode="External"/><Relationship Id="rId210" Type="http://schemas.openxmlformats.org/officeDocument/2006/relationships/hyperlink" Target="https://github.com/proeco/proeco-client/pull/147" TargetMode="External"/><Relationship Id="rId331" Type="http://schemas.openxmlformats.org/officeDocument/2006/relationships/hyperlink" Target="https://github.com/Khan/wonder-blocks/pull/2661" TargetMode="External"/><Relationship Id="rId129" Type="http://schemas.openxmlformats.org/officeDocument/2006/relationships/hyperlink" Target="https://github.com/sl-design-system/components/pull/1454" TargetMode="External"/><Relationship Id="rId128" Type="http://schemas.openxmlformats.org/officeDocument/2006/relationships/hyperlink" Target="https://github.com/evidence-dev/evidence/pull/2436" TargetMode="External"/><Relationship Id="rId249" Type="http://schemas.openxmlformats.org/officeDocument/2006/relationships/hyperlink" Target="https://github.com/coder/coder/pull/1574" TargetMode="External"/><Relationship Id="rId127" Type="http://schemas.openxmlformats.org/officeDocument/2006/relationships/hyperlink" Target="https://github.com/navikt/aksel/pull/3081" TargetMode="External"/><Relationship Id="rId248" Type="http://schemas.openxmlformats.org/officeDocument/2006/relationships/hyperlink" Target="https://github.com/adobe/react-spectrum/pull/3132" TargetMode="External"/><Relationship Id="rId126" Type="http://schemas.openxmlformats.org/officeDocument/2006/relationships/hyperlink" Target="https://github.com/kufu/smarthr-ui/pull/4821" TargetMode="External"/><Relationship Id="rId247" Type="http://schemas.openxmlformats.org/officeDocument/2006/relationships/hyperlink" Target="https://github.com/contentful/forma-36/pull/2057" TargetMode="External"/><Relationship Id="rId121" Type="http://schemas.openxmlformats.org/officeDocument/2006/relationships/hyperlink" Target="https://github.com/sillsdev/web-xforge/pull/2557" TargetMode="External"/><Relationship Id="rId242" Type="http://schemas.openxmlformats.org/officeDocument/2006/relationships/hyperlink" Target="https://github.com/WPMedia/arc-themes-blocks/pull/1347" TargetMode="External"/><Relationship Id="rId120" Type="http://schemas.openxmlformats.org/officeDocument/2006/relationships/hyperlink" Target="https://github.com/adobe/spectrum-css/pull/2929" TargetMode="External"/><Relationship Id="rId241" Type="http://schemas.openxmlformats.org/officeDocument/2006/relationships/hyperlink" Target="https://github.com/coder/coder/pull/981" TargetMode="External"/><Relationship Id="rId240" Type="http://schemas.openxmlformats.org/officeDocument/2006/relationships/hyperlink" Target="https://github.com/metmuseum/marble/pull/185" TargetMode="External"/><Relationship Id="rId125" Type="http://schemas.openxmlformats.org/officeDocument/2006/relationships/hyperlink" Target="https://github.com/evidence-dev/evidence/pull/2317" TargetMode="External"/><Relationship Id="rId246" Type="http://schemas.openxmlformats.org/officeDocument/2006/relationships/hyperlink" Target="https://github.com/WPMedia/arc-themes-blocks/pull/1335" TargetMode="External"/><Relationship Id="rId124" Type="http://schemas.openxmlformats.org/officeDocument/2006/relationships/hyperlink" Target="https://github.com/DouyinFE/semi-design/pull/2431" TargetMode="External"/><Relationship Id="rId245" Type="http://schemas.openxmlformats.org/officeDocument/2006/relationships/hyperlink" Target="https://github.com/WPMedia/arc-themes-blocks/pull/1332" TargetMode="External"/><Relationship Id="rId123" Type="http://schemas.openxmlformats.org/officeDocument/2006/relationships/hyperlink" Target="https://github.com/adobe/react-spectrum/pull/6965" TargetMode="External"/><Relationship Id="rId244" Type="http://schemas.openxmlformats.org/officeDocument/2006/relationships/hyperlink" Target="https://github.com/WPMedia/arc-themes-blocks/pull/1345" TargetMode="External"/><Relationship Id="rId122" Type="http://schemas.openxmlformats.org/officeDocument/2006/relationships/hyperlink" Target="https://github.com/Esri/calcite-design-system/pull/9969" TargetMode="External"/><Relationship Id="rId243" Type="http://schemas.openxmlformats.org/officeDocument/2006/relationships/hyperlink" Target="https://github.com/WPMedia/arc-themes-blocks/pull/1345" TargetMode="External"/><Relationship Id="rId95" Type="http://schemas.openxmlformats.org/officeDocument/2006/relationships/hyperlink" Target="https://github.com/wellcomecollection/wellcomecollection.org/pull/10792" TargetMode="External"/><Relationship Id="rId94" Type="http://schemas.openxmlformats.org/officeDocument/2006/relationships/hyperlink" Target="https://github.com/guardian/dotcom-rendering/pull/10864" TargetMode="External"/><Relationship Id="rId97" Type="http://schemas.openxmlformats.org/officeDocument/2006/relationships/hyperlink" Target="https://github.com/ethereum/ethereum-org-website/pull/12639" TargetMode="External"/><Relationship Id="rId96" Type="http://schemas.openxmlformats.org/officeDocument/2006/relationships/hyperlink" Target="https://github.com/ethereum/ethereum-org-website/pull/12639" TargetMode="External"/><Relationship Id="rId99" Type="http://schemas.openxmlformats.org/officeDocument/2006/relationships/hyperlink" Target="https://github.com/recharts/recharts/pull/4441" TargetMode="External"/><Relationship Id="rId98" Type="http://schemas.openxmlformats.org/officeDocument/2006/relationships/hyperlink" Target="https://github.com/coder/coder/pull/13031" TargetMode="External"/><Relationship Id="rId91" Type="http://schemas.openxmlformats.org/officeDocument/2006/relationships/hyperlink" Target="https://github.com/Crystal-Creations-GbR/crystal-components/pull/70" TargetMode="External"/><Relationship Id="rId90" Type="http://schemas.openxmlformats.org/officeDocument/2006/relationships/hyperlink" Target="https://github.com/navikt/aksel/pull/2795" TargetMode="External"/><Relationship Id="rId93" Type="http://schemas.openxmlformats.org/officeDocument/2006/relationships/hyperlink" Target="https://github.com/NeurodataWithoutBorders/nwb-guide/pull/674" TargetMode="External"/><Relationship Id="rId92" Type="http://schemas.openxmlformats.org/officeDocument/2006/relationships/hyperlink" Target="https://github.com/chromaui/chromatic-docs/pull/400" TargetMode="External"/><Relationship Id="rId118" Type="http://schemas.openxmlformats.org/officeDocument/2006/relationships/hyperlink" Target="https://github.com/gradio-app/gradio/pull/8851" TargetMode="External"/><Relationship Id="rId239" Type="http://schemas.openxmlformats.org/officeDocument/2006/relationships/hyperlink" Target="https://github.com/curology/radiance-ui/pull/1470" TargetMode="External"/><Relationship Id="rId117" Type="http://schemas.openxmlformats.org/officeDocument/2006/relationships/hyperlink" Target="https://github.com/recharts/recharts/pull/4795" TargetMode="External"/><Relationship Id="rId238" Type="http://schemas.openxmlformats.org/officeDocument/2006/relationships/hyperlink" Target="https://github.com/lena1687/react-game-project/pull/1" TargetMode="External"/><Relationship Id="rId116" Type="http://schemas.openxmlformats.org/officeDocument/2006/relationships/hyperlink" Target="https://github.com/Esri/calcite-design-system/pull/9912" TargetMode="External"/><Relationship Id="rId237" Type="http://schemas.openxmlformats.org/officeDocument/2006/relationships/hyperlink" Target="https://github.com/chanzuckerberg/edu-design-system/pull/921" TargetMode="External"/><Relationship Id="rId115" Type="http://schemas.openxmlformats.org/officeDocument/2006/relationships/hyperlink" Target="https://github.com/storybookjs/storybook/pull/28739" TargetMode="External"/><Relationship Id="rId236" Type="http://schemas.openxmlformats.org/officeDocument/2006/relationships/hyperlink" Target="https://github.com/ntls-io/nautilus-wallet/pull/160" TargetMode="External"/><Relationship Id="rId119" Type="http://schemas.openxmlformats.org/officeDocument/2006/relationships/hyperlink" Target="https://github.com/ni/nimble/pull/2315" TargetMode="External"/><Relationship Id="rId110" Type="http://schemas.openxmlformats.org/officeDocument/2006/relationships/hyperlink" Target="https://github.com/ni/nimble/pull/2167" TargetMode="External"/><Relationship Id="rId231" Type="http://schemas.openxmlformats.org/officeDocument/2006/relationships/hyperlink" Target="https://github.com/guardian/dotcom-rendering/pull/3988" TargetMode="External"/><Relationship Id="rId230" Type="http://schemas.openxmlformats.org/officeDocument/2006/relationships/hyperlink" Target="https://github.com/guardian/dotcom-rendering/pull/3823" TargetMode="External"/><Relationship Id="rId114" Type="http://schemas.openxmlformats.org/officeDocument/2006/relationships/hyperlink" Target="https://github.com/ni/nimble/pull/2189" TargetMode="External"/><Relationship Id="rId235" Type="http://schemas.openxmlformats.org/officeDocument/2006/relationships/hyperlink" Target="https://github.com/ni/nimble/pull/406" TargetMode="External"/><Relationship Id="rId113" Type="http://schemas.openxmlformats.org/officeDocument/2006/relationships/hyperlink" Target="https://github.com/jpmorganchase/salt-ds/pull/3551" TargetMode="External"/><Relationship Id="rId234" Type="http://schemas.openxmlformats.org/officeDocument/2006/relationships/hyperlink" Target="https://github.com/guardian/gateway/pull/1575" TargetMode="External"/><Relationship Id="rId112" Type="http://schemas.openxmlformats.org/officeDocument/2006/relationships/hyperlink" Target="https://github.com/Sage/carbon/pull/6795" TargetMode="External"/><Relationship Id="rId233" Type="http://schemas.openxmlformats.org/officeDocument/2006/relationships/hyperlink" Target="https://github.com/chanzuckerberg/edu-design-system/pull/893" TargetMode="External"/><Relationship Id="rId111" Type="http://schemas.openxmlformats.org/officeDocument/2006/relationships/hyperlink" Target="https://github.com/ni/nimble/pull/2167" TargetMode="External"/><Relationship Id="rId232" Type="http://schemas.openxmlformats.org/officeDocument/2006/relationships/hyperlink" Target="https://github.com/guardian/dotcom-rendering/pull/3897" TargetMode="External"/><Relationship Id="rId305" Type="http://schemas.openxmlformats.org/officeDocument/2006/relationships/hyperlink" Target="https://github.com/storybookjs/storybook/pull/20359" TargetMode="External"/><Relationship Id="rId304" Type="http://schemas.openxmlformats.org/officeDocument/2006/relationships/hyperlink" Target="https://github.com/DouyinFE/semi-design/pull/1317" TargetMode="External"/><Relationship Id="rId303" Type="http://schemas.openxmlformats.org/officeDocument/2006/relationships/hyperlink" Target="https://github.com/wellcomecollection/wellcomecollection.org/pull/8945" TargetMode="External"/><Relationship Id="rId302" Type="http://schemas.openxmlformats.org/officeDocument/2006/relationships/hyperlink" Target="https://github.com/guardian/dotcom-rendering/pull/6405" TargetMode="External"/><Relationship Id="rId309" Type="http://schemas.openxmlformats.org/officeDocument/2006/relationships/hyperlink" Target="https://github.com/serendie/serendie/pull/28" TargetMode="External"/><Relationship Id="rId308" Type="http://schemas.openxmlformats.org/officeDocument/2006/relationships/hyperlink" Target="https://github.com/chanzuckerberg/edu-design-system/pull/1440" TargetMode="External"/><Relationship Id="rId307" Type="http://schemas.openxmlformats.org/officeDocument/2006/relationships/hyperlink" Target="https://github.com/chanzuckerberg/edu-design-system/pull/1440" TargetMode="External"/><Relationship Id="rId306" Type="http://schemas.openxmlformats.org/officeDocument/2006/relationships/hyperlink" Target="https://github.com/ni/nimble/pull/927" TargetMode="External"/><Relationship Id="rId301" Type="http://schemas.openxmlformats.org/officeDocument/2006/relationships/hyperlink" Target="https://github.com/Khan/wonder-blocks/pull/1645" TargetMode="External"/><Relationship Id="rId300" Type="http://schemas.openxmlformats.org/officeDocument/2006/relationships/hyperlink" Target="https://github.com/sbb-design-systems/lyne-components/pull/1461" TargetMode="External"/><Relationship Id="rId206" Type="http://schemas.openxmlformats.org/officeDocument/2006/relationships/hyperlink" Target="https://github.com/WPMedia/arc-themes-blocks/pull/1092" TargetMode="External"/><Relationship Id="rId327" Type="http://schemas.openxmlformats.org/officeDocument/2006/relationships/hyperlink" Target="https://github.com/Khan/wonder-blocks/pull/2602" TargetMode="External"/><Relationship Id="rId205" Type="http://schemas.openxmlformats.org/officeDocument/2006/relationships/hyperlink" Target="https://github.com/eisbuk/EisBuk/pull/183" TargetMode="External"/><Relationship Id="rId326" Type="http://schemas.openxmlformats.org/officeDocument/2006/relationships/hyperlink" Target="https://github.com/storacha/bluesky-backup-webapp-server/pull/171" TargetMode="External"/><Relationship Id="rId204" Type="http://schemas.openxmlformats.org/officeDocument/2006/relationships/hyperlink" Target="https://github.com/eisbuk/EisBuk/pull/183" TargetMode="External"/><Relationship Id="rId325" Type="http://schemas.openxmlformats.org/officeDocument/2006/relationships/hyperlink" Target="https://github.com/coder/coder/pull/17822" TargetMode="External"/><Relationship Id="rId203" Type="http://schemas.openxmlformats.org/officeDocument/2006/relationships/hyperlink" Target="https://github.com/PostHog/posthog/pull/5736" TargetMode="External"/><Relationship Id="rId324" Type="http://schemas.openxmlformats.org/officeDocument/2006/relationships/hyperlink" Target="https://github.com/nodejs/nodejs.org/pull/7754" TargetMode="External"/><Relationship Id="rId209" Type="http://schemas.openxmlformats.org/officeDocument/2006/relationships/hyperlink" Target="https://github.com/BBC-archive/psammead/pull/4548" TargetMode="External"/><Relationship Id="rId208" Type="http://schemas.openxmlformats.org/officeDocument/2006/relationships/hyperlink" Target="https://github.com/storybookjs/storybook/pull/16178" TargetMode="External"/><Relationship Id="rId329" Type="http://schemas.openxmlformats.org/officeDocument/2006/relationships/hyperlink" Target="https://github.com/Khan/wonder-blocks/pull/2600" TargetMode="External"/><Relationship Id="rId207" Type="http://schemas.openxmlformats.org/officeDocument/2006/relationships/hyperlink" Target="https://github.com/WPMedia/arc-themes-blocks/pull/1092" TargetMode="External"/><Relationship Id="rId328" Type="http://schemas.openxmlformats.org/officeDocument/2006/relationships/hyperlink" Target="https://github.com/Khan/wonder-blocks/pull/2602" TargetMode="External"/><Relationship Id="rId202" Type="http://schemas.openxmlformats.org/officeDocument/2006/relationships/hyperlink" Target="https://github.com/guardian/gateway/pull/791" TargetMode="External"/><Relationship Id="rId323" Type="http://schemas.openxmlformats.org/officeDocument/2006/relationships/hyperlink" Target="https://github.com/nodejs/nodejs.org/pull/7754" TargetMode="External"/><Relationship Id="rId201" Type="http://schemas.openxmlformats.org/officeDocument/2006/relationships/hyperlink" Target="https://github.com/guardian/gateway/pull/791" TargetMode="External"/><Relationship Id="rId322" Type="http://schemas.openxmlformats.org/officeDocument/2006/relationships/hyperlink" Target="https://github.com/nodejs/nodejs.org/pull/7754" TargetMode="External"/><Relationship Id="rId200" Type="http://schemas.openxmlformats.org/officeDocument/2006/relationships/hyperlink" Target="https://github.com/guardian/gateway/pull/791" TargetMode="External"/><Relationship Id="rId321" Type="http://schemas.openxmlformats.org/officeDocument/2006/relationships/hyperlink" Target="https://github.com/Khan/wonder-blocks/pull/2563" TargetMode="External"/><Relationship Id="rId320" Type="http://schemas.openxmlformats.org/officeDocument/2006/relationships/hyperlink" Target="https://github.com/nodejs/nodejs.org/pull/7638" TargetMode="External"/><Relationship Id="rId316" Type="http://schemas.openxmlformats.org/officeDocument/2006/relationships/hyperlink" Target="https://github.com/Khan/wonder-blocks/pull/2508" TargetMode="External"/><Relationship Id="rId315" Type="http://schemas.openxmlformats.org/officeDocument/2006/relationships/hyperlink" Target="https://github.com/Khan/wonder-blocks/pull/2508" TargetMode="External"/><Relationship Id="rId314" Type="http://schemas.openxmlformats.org/officeDocument/2006/relationships/hyperlink" Target="https://github.com/temporalio/ui/pull/2599" TargetMode="External"/><Relationship Id="rId313" Type="http://schemas.openxmlformats.org/officeDocument/2006/relationships/hyperlink" Target="https://github.com/openops-cloud/openops/pull/286" TargetMode="External"/><Relationship Id="rId319" Type="http://schemas.openxmlformats.org/officeDocument/2006/relationships/hyperlink" Target="https://github.com/adobe/spectrum-css/pull/3593" TargetMode="External"/><Relationship Id="rId318" Type="http://schemas.openxmlformats.org/officeDocument/2006/relationships/hyperlink" Target="https://github.com/nl-design-system/denhaag/pull/1709" TargetMode="External"/><Relationship Id="rId317" Type="http://schemas.openxmlformats.org/officeDocument/2006/relationships/hyperlink" Target="https://github.com/ory/elements/pull/371" TargetMode="External"/><Relationship Id="rId312" Type="http://schemas.openxmlformats.org/officeDocument/2006/relationships/hyperlink" Target="https://github.com/Esri/calcite-design-system/pull/11759" TargetMode="External"/><Relationship Id="rId311" Type="http://schemas.openxmlformats.org/officeDocument/2006/relationships/hyperlink" Target="https://github.com/opengovsg/isomer/pull/1144" TargetMode="External"/><Relationship Id="rId310" Type="http://schemas.openxmlformats.org/officeDocument/2006/relationships/hyperlink" Target="https://github.com/department-of-veterans-affairs/component-library/pull/1487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github.com/isomerpages/isomercms-frontend/pull/1435" TargetMode="External"/><Relationship Id="rId194" Type="http://schemas.openxmlformats.org/officeDocument/2006/relationships/hyperlink" Target="https://github.com/guardian/dotcom-rendering/pull/9792" TargetMode="External"/><Relationship Id="rId193" Type="http://schemas.openxmlformats.org/officeDocument/2006/relationships/hyperlink" Target="https://github.com/isomerpages/isomercms-frontend/pull/1396" TargetMode="External"/><Relationship Id="rId192" Type="http://schemas.openxmlformats.org/officeDocument/2006/relationships/hyperlink" Target="https://github.com/sbb-design-systems/lyne-components/pull/2255" TargetMode="External"/><Relationship Id="rId191" Type="http://schemas.openxmlformats.org/officeDocument/2006/relationships/hyperlink" Target="https://github.com/sbb-design-systems/lyne-components/pull/2255" TargetMode="External"/><Relationship Id="rId187" Type="http://schemas.openxmlformats.org/officeDocument/2006/relationships/hyperlink" Target="https://github.com/isomerpages/isomercms-frontend/pull/1398" TargetMode="External"/><Relationship Id="rId186" Type="http://schemas.openxmlformats.org/officeDocument/2006/relationships/hyperlink" Target="https://github.com/GCTC-NTGC/gc-digital-talent/pull/8405" TargetMode="External"/><Relationship Id="rId185" Type="http://schemas.openxmlformats.org/officeDocument/2006/relationships/hyperlink" Target="https://github.com/GCTC-NTGC/gc-digital-talent/pull/8405" TargetMode="External"/><Relationship Id="rId184" Type="http://schemas.openxmlformats.org/officeDocument/2006/relationships/hyperlink" Target="https://github.com/contentful/forma-36/pull/2520" TargetMode="External"/><Relationship Id="rId189" Type="http://schemas.openxmlformats.org/officeDocument/2006/relationships/hyperlink" Target="https://github.com/daydule/frontend/pull/71" TargetMode="External"/><Relationship Id="rId188" Type="http://schemas.openxmlformats.org/officeDocument/2006/relationships/hyperlink" Target="https://github.com/daydule/frontend/pull/71" TargetMode="External"/><Relationship Id="rId183" Type="http://schemas.openxmlformats.org/officeDocument/2006/relationships/hyperlink" Target="https://github.com/coder/coder/pull/10857" TargetMode="External"/><Relationship Id="rId182" Type="http://schemas.openxmlformats.org/officeDocument/2006/relationships/hyperlink" Target="https://github.com/coder/coder/pull/10857" TargetMode="External"/><Relationship Id="rId181" Type="http://schemas.openxmlformats.org/officeDocument/2006/relationships/hyperlink" Target="https://github.com/chromaui/addon-visual-tests/pull/22" TargetMode="External"/><Relationship Id="rId180" Type="http://schemas.openxmlformats.org/officeDocument/2006/relationships/hyperlink" Target="https://github.com/guardian/support-frontend/pull/5429" TargetMode="External"/><Relationship Id="rId176" Type="http://schemas.openxmlformats.org/officeDocument/2006/relationships/hyperlink" Target="https://github.com/kufu/smarthr-ui/pull/3975" TargetMode="External"/><Relationship Id="rId175" Type="http://schemas.openxmlformats.org/officeDocument/2006/relationships/hyperlink" Target="https://github.com/ni/nimble/pull/1335" TargetMode="External"/><Relationship Id="rId174" Type="http://schemas.openxmlformats.org/officeDocument/2006/relationships/hyperlink" Target="https://github.com/kufu/smarthr-ui/pull/3975" TargetMode="External"/><Relationship Id="rId173" Type="http://schemas.openxmlformats.org/officeDocument/2006/relationships/hyperlink" Target="https://github.com/kufu/smarthr-ui/pull/3975" TargetMode="External"/><Relationship Id="rId179" Type="http://schemas.openxmlformats.org/officeDocument/2006/relationships/hyperlink" Target="https://github.com/guardian/support-frontend/pull/5429" TargetMode="External"/><Relationship Id="rId178" Type="http://schemas.openxmlformats.org/officeDocument/2006/relationships/hyperlink" Target="https://github.com/Sage-Bionetworks/synapse-web-monorepo/pull/319" TargetMode="External"/><Relationship Id="rId177" Type="http://schemas.openxmlformats.org/officeDocument/2006/relationships/hyperlink" Target="https://github.com/kufu/smarthr-ui/pull/3975" TargetMode="External"/><Relationship Id="rId198" Type="http://schemas.openxmlformats.org/officeDocument/2006/relationships/hyperlink" Target="https://github.com/adobe/spectrum-css/pull/2424" TargetMode="External"/><Relationship Id="rId197" Type="http://schemas.openxmlformats.org/officeDocument/2006/relationships/hyperlink" Target="https://github.com/adobe/spectrum-css/pull/2424" TargetMode="External"/><Relationship Id="rId196" Type="http://schemas.openxmlformats.org/officeDocument/2006/relationships/hyperlink" Target="https://github.com/Esri/calcite-design-system/pull/7568" TargetMode="External"/><Relationship Id="rId195" Type="http://schemas.openxmlformats.org/officeDocument/2006/relationships/hyperlink" Target="https://github.com/guardian/dotcom-rendering/pull/9792" TargetMode="External"/><Relationship Id="rId199" Type="http://schemas.openxmlformats.org/officeDocument/2006/relationships/hyperlink" Target="https://github.com/Esri/calcite-design-system/pull/7568" TargetMode="External"/><Relationship Id="rId150" Type="http://schemas.openxmlformats.org/officeDocument/2006/relationships/hyperlink" Target="https://github.com/bitwarden/clients/pull/6225" TargetMode="External"/><Relationship Id="rId392" Type="http://schemas.openxmlformats.org/officeDocument/2006/relationships/hyperlink" Target="https://github.com/guardian/dotcom-rendering/pull/12062" TargetMode="External"/><Relationship Id="rId391" Type="http://schemas.openxmlformats.org/officeDocument/2006/relationships/hyperlink" Target="https://github.com/cloudblue/connect-ui-toolkit/pull/92" TargetMode="External"/><Relationship Id="rId390" Type="http://schemas.openxmlformats.org/officeDocument/2006/relationships/hyperlink" Target="https://github.com/Khan/wonder-blocks/pull/2309" TargetMode="External"/><Relationship Id="rId1" Type="http://schemas.openxmlformats.org/officeDocument/2006/relationships/hyperlink" Target="https://github.com/mswjs/msw-storybook-addon/pull/22" TargetMode="External"/><Relationship Id="rId2" Type="http://schemas.openxmlformats.org/officeDocument/2006/relationships/hyperlink" Target="https://github.com/storybookjs/storybook/pull/20712" TargetMode="External"/><Relationship Id="rId3" Type="http://schemas.openxmlformats.org/officeDocument/2006/relationships/hyperlink" Target="https://github.com/storybookjs/storybook/pull/20712" TargetMode="External"/><Relationship Id="rId149" Type="http://schemas.openxmlformats.org/officeDocument/2006/relationships/hyperlink" Target="https://github.com/bitwarden/clients/pull/6225" TargetMode="External"/><Relationship Id="rId4" Type="http://schemas.openxmlformats.org/officeDocument/2006/relationships/hyperlink" Target="https://github.com/storybookjs/storybook/pull/14528" TargetMode="External"/><Relationship Id="rId148" Type="http://schemas.openxmlformats.org/officeDocument/2006/relationships/hyperlink" Target="https://github.com/storybookjs/storybook/pull/22336" TargetMode="External"/><Relationship Id="rId9" Type="http://schemas.openxmlformats.org/officeDocument/2006/relationships/hyperlink" Target="https://github.com/ni/nimble/pull/966" TargetMode="External"/><Relationship Id="rId143" Type="http://schemas.openxmlformats.org/officeDocument/2006/relationships/hyperlink" Target="https://github.com/chromaui/addon-visual-tests/pull/69" TargetMode="External"/><Relationship Id="rId385" Type="http://schemas.openxmlformats.org/officeDocument/2006/relationships/hyperlink" Target="https://github.com/misskey-dev/misskey/pull/13830" TargetMode="External"/><Relationship Id="rId142" Type="http://schemas.openxmlformats.org/officeDocument/2006/relationships/hyperlink" Target="https://github.com/coder/coder/pull/7210" TargetMode="External"/><Relationship Id="rId384" Type="http://schemas.openxmlformats.org/officeDocument/2006/relationships/hyperlink" Target="https://github.com/evidence-dev/evidence/pull/2436" TargetMode="External"/><Relationship Id="rId141" Type="http://schemas.openxmlformats.org/officeDocument/2006/relationships/hyperlink" Target="https://github.com/guardian/dotcom-rendering/pull/8633" TargetMode="External"/><Relationship Id="rId383" Type="http://schemas.openxmlformats.org/officeDocument/2006/relationships/hyperlink" Target="https://github.com/evidence-dev/evidence/pull/2436" TargetMode="External"/><Relationship Id="rId140" Type="http://schemas.openxmlformats.org/officeDocument/2006/relationships/hyperlink" Target="https://github.com/guardian/dotcom-rendering/pull/8633" TargetMode="External"/><Relationship Id="rId382" Type="http://schemas.openxmlformats.org/officeDocument/2006/relationships/hyperlink" Target="https://github.com/kufu/smarthr-ui/pull/4626" TargetMode="External"/><Relationship Id="rId5" Type="http://schemas.openxmlformats.org/officeDocument/2006/relationships/hyperlink" Target="https://github.com/storybookjs/storybook/pull/20712" TargetMode="External"/><Relationship Id="rId147" Type="http://schemas.openxmlformats.org/officeDocument/2006/relationships/hyperlink" Target="https://github.com/storybookjs/storybook/pull/24146" TargetMode="External"/><Relationship Id="rId389" Type="http://schemas.openxmlformats.org/officeDocument/2006/relationships/hyperlink" Target="https://github.com/Khan/wonder-blocks/pull/2309" TargetMode="External"/><Relationship Id="rId6" Type="http://schemas.openxmlformats.org/officeDocument/2006/relationships/hyperlink" Target="https://github.com/storybookjs/storybook/pull/20712" TargetMode="External"/><Relationship Id="rId146" Type="http://schemas.openxmlformats.org/officeDocument/2006/relationships/hyperlink" Target="https://github.com/storybookjs/storybook/pull/24146" TargetMode="External"/><Relationship Id="rId388" Type="http://schemas.openxmlformats.org/officeDocument/2006/relationships/hyperlink" Target="https://github.com/cloudblue/connect-ui-toolkit/pull/92" TargetMode="External"/><Relationship Id="rId7" Type="http://schemas.openxmlformats.org/officeDocument/2006/relationships/hyperlink" Target="https://github.com/storybookjs/storybook/pull/15080" TargetMode="External"/><Relationship Id="rId145" Type="http://schemas.openxmlformats.org/officeDocument/2006/relationships/hyperlink" Target="https://github.com/forkfacts/forkfacts-v2/pull/26" TargetMode="External"/><Relationship Id="rId387" Type="http://schemas.openxmlformats.org/officeDocument/2006/relationships/hyperlink" Target="https://github.com/sl-design-system/components/pull/1454" TargetMode="External"/><Relationship Id="rId8" Type="http://schemas.openxmlformats.org/officeDocument/2006/relationships/hyperlink" Target="https://github.com/ni/nimble/pull/966" TargetMode="External"/><Relationship Id="rId144" Type="http://schemas.openxmlformats.org/officeDocument/2006/relationships/hyperlink" Target="https://github.com/chromaui/addon-visual-tests/pull/69" TargetMode="External"/><Relationship Id="rId386" Type="http://schemas.openxmlformats.org/officeDocument/2006/relationships/hyperlink" Target="https://github.com/sl-design-system/components/pull/1454" TargetMode="External"/><Relationship Id="rId381" Type="http://schemas.openxmlformats.org/officeDocument/2006/relationships/hyperlink" Target="https://github.com/navikt/aksel/pull/3081" TargetMode="External"/><Relationship Id="rId380" Type="http://schemas.openxmlformats.org/officeDocument/2006/relationships/hyperlink" Target="https://github.com/navikt/aksel/pull/3081" TargetMode="External"/><Relationship Id="rId139" Type="http://schemas.openxmlformats.org/officeDocument/2006/relationships/hyperlink" Target="https://github.com/coder/coder/pull/7210" TargetMode="External"/><Relationship Id="rId138" Type="http://schemas.openxmlformats.org/officeDocument/2006/relationships/hyperlink" Target="https://github.com/adobe/react-spectrum/pull/4972" TargetMode="External"/><Relationship Id="rId137" Type="http://schemas.openxmlformats.org/officeDocument/2006/relationships/hyperlink" Target="https://github.com/adobe/react-spectrum/pull/4972" TargetMode="External"/><Relationship Id="rId379" Type="http://schemas.openxmlformats.org/officeDocument/2006/relationships/hyperlink" Target="https://github.com/appsmithorg/appsmith/pull/32857" TargetMode="External"/><Relationship Id="rId132" Type="http://schemas.openxmlformats.org/officeDocument/2006/relationships/hyperlink" Target="https://github.com/guardian/dotcom-rendering/pull/8478" TargetMode="External"/><Relationship Id="rId374" Type="http://schemas.openxmlformats.org/officeDocument/2006/relationships/hyperlink" Target="https://github.com/evidence-dev/evidence/pull/2317" TargetMode="External"/><Relationship Id="rId131" Type="http://schemas.openxmlformats.org/officeDocument/2006/relationships/hyperlink" Target="https://github.com/guardian/dotcom-rendering/pull/8478" TargetMode="External"/><Relationship Id="rId373" Type="http://schemas.openxmlformats.org/officeDocument/2006/relationships/hyperlink" Target="https://github.com/coder/coder/pull/13031" TargetMode="External"/><Relationship Id="rId130" Type="http://schemas.openxmlformats.org/officeDocument/2006/relationships/hyperlink" Target="https://github.com/contentful/forma-36/pull/2430" TargetMode="External"/><Relationship Id="rId372" Type="http://schemas.openxmlformats.org/officeDocument/2006/relationships/hyperlink" Target="https://github.com/DouyinFE/semi-design/pull/2431" TargetMode="External"/><Relationship Id="rId371" Type="http://schemas.openxmlformats.org/officeDocument/2006/relationships/hyperlink" Target="https://github.com/DouyinFE/semi-design/pull/2431" TargetMode="External"/><Relationship Id="rId136" Type="http://schemas.openxmlformats.org/officeDocument/2006/relationships/hyperlink" Target="https://github.com/livechat/design-system/pull/518" TargetMode="External"/><Relationship Id="rId378" Type="http://schemas.openxmlformats.org/officeDocument/2006/relationships/hyperlink" Target="https://github.com/kufu/smarthr-ui/pull/4821" TargetMode="External"/><Relationship Id="rId135" Type="http://schemas.openxmlformats.org/officeDocument/2006/relationships/hyperlink" Target="https://github.com/guardian/dotcom-rendering/pull/8478" TargetMode="External"/><Relationship Id="rId377" Type="http://schemas.openxmlformats.org/officeDocument/2006/relationships/hyperlink" Target="https://github.com/kufu/smarthr-ui/pull/4821" TargetMode="External"/><Relationship Id="rId134" Type="http://schemas.openxmlformats.org/officeDocument/2006/relationships/hyperlink" Target="https://github.com/guardian/dotcom-rendering/pull/8478" TargetMode="External"/><Relationship Id="rId376" Type="http://schemas.openxmlformats.org/officeDocument/2006/relationships/hyperlink" Target="https://github.com/recharts/recharts/pull/4441" TargetMode="External"/><Relationship Id="rId133" Type="http://schemas.openxmlformats.org/officeDocument/2006/relationships/hyperlink" Target="https://github.com/sbb-design-systems/lyne-components/pull/1691" TargetMode="External"/><Relationship Id="rId375" Type="http://schemas.openxmlformats.org/officeDocument/2006/relationships/hyperlink" Target="https://github.com/evidence-dev/evidence/pull/2317" TargetMode="External"/><Relationship Id="rId172" Type="http://schemas.openxmlformats.org/officeDocument/2006/relationships/hyperlink" Target="https://github.com/contentful/forma-36/pull/2498" TargetMode="External"/><Relationship Id="rId171" Type="http://schemas.openxmlformats.org/officeDocument/2006/relationships/hyperlink" Target="https://github.com/storybookjs/storybook/pull/24395" TargetMode="External"/><Relationship Id="rId170" Type="http://schemas.openxmlformats.org/officeDocument/2006/relationships/hyperlink" Target="https://github.com/storybookjs/storybook/pull/24395" TargetMode="External"/><Relationship Id="rId165" Type="http://schemas.openxmlformats.org/officeDocument/2006/relationships/hyperlink" Target="https://github.com/Esri/calcite-design-system/pull/8066" TargetMode="External"/><Relationship Id="rId164" Type="http://schemas.openxmlformats.org/officeDocument/2006/relationships/hyperlink" Target="https://github.com/Esri/calcite-design-system/pull/8066" TargetMode="External"/><Relationship Id="rId163" Type="http://schemas.openxmlformats.org/officeDocument/2006/relationships/hyperlink" Target="https://github.com/input-output-hk/lace/pull/128" TargetMode="External"/><Relationship Id="rId162" Type="http://schemas.openxmlformats.org/officeDocument/2006/relationships/hyperlink" Target="https://github.com/recharts/recharts/pull/3908" TargetMode="External"/><Relationship Id="rId169" Type="http://schemas.openxmlformats.org/officeDocument/2006/relationships/hyperlink" Target="https://github.com/contentful/forma-36/pull/2498" TargetMode="External"/><Relationship Id="rId168" Type="http://schemas.openxmlformats.org/officeDocument/2006/relationships/hyperlink" Target="https://github.com/navikt/aksel/pull/2395" TargetMode="External"/><Relationship Id="rId167" Type="http://schemas.openxmlformats.org/officeDocument/2006/relationships/hyperlink" Target="https://github.com/navikt/aksel/pull/2395" TargetMode="External"/><Relationship Id="rId166" Type="http://schemas.openxmlformats.org/officeDocument/2006/relationships/hyperlink" Target="https://github.com/input-output-hk/lace/pull/128" TargetMode="External"/><Relationship Id="rId161" Type="http://schemas.openxmlformats.org/officeDocument/2006/relationships/hyperlink" Target="https://github.com/recharts/recharts/pull/3908" TargetMode="External"/><Relationship Id="rId160" Type="http://schemas.openxmlformats.org/officeDocument/2006/relationships/hyperlink" Target="https://github.com/NeurodataWithoutBorders/nwb-guide/pull/219" TargetMode="External"/><Relationship Id="rId159" Type="http://schemas.openxmlformats.org/officeDocument/2006/relationships/hyperlink" Target="https://github.com/recharts/recharts/pull/3908" TargetMode="External"/><Relationship Id="rId154" Type="http://schemas.openxmlformats.org/officeDocument/2006/relationships/hyperlink" Target="https://github.com/ForgeRock/forgerock-web-login-framework/pull/121" TargetMode="External"/><Relationship Id="rId396" Type="http://schemas.openxmlformats.org/officeDocument/2006/relationships/hyperlink" Target="https://github.com/chromaui/chromatic-e2e/pull/207" TargetMode="External"/><Relationship Id="rId153" Type="http://schemas.openxmlformats.org/officeDocument/2006/relationships/hyperlink" Target="https://github.com/isomerpages/isomercms-frontend/pull/1620" TargetMode="External"/><Relationship Id="rId395" Type="http://schemas.openxmlformats.org/officeDocument/2006/relationships/hyperlink" Target="https://github.com/chromaui/chromatic-e2e/pull/207" TargetMode="External"/><Relationship Id="rId152" Type="http://schemas.openxmlformats.org/officeDocument/2006/relationships/hyperlink" Target="https://github.com/isomerpages/isomercms-frontend/pull/1620" TargetMode="External"/><Relationship Id="rId394" Type="http://schemas.openxmlformats.org/officeDocument/2006/relationships/hyperlink" Target="https://github.com/danskernesdigitalebibliotek/dpl-design-system/pull/650" TargetMode="External"/><Relationship Id="rId151" Type="http://schemas.openxmlformats.org/officeDocument/2006/relationships/hyperlink" Target="https://github.com/ForgeRock/forgerock-web-login-framework/pull/121" TargetMode="External"/><Relationship Id="rId393" Type="http://schemas.openxmlformats.org/officeDocument/2006/relationships/hyperlink" Target="https://github.com/guardian/dotcom-rendering/pull/12062" TargetMode="External"/><Relationship Id="rId158" Type="http://schemas.openxmlformats.org/officeDocument/2006/relationships/hyperlink" Target="https://github.com/recharts/recharts/pull/3908" TargetMode="External"/><Relationship Id="rId157" Type="http://schemas.openxmlformats.org/officeDocument/2006/relationships/hyperlink" Target="https://github.com/danskernesdigitalebibliotek/dpl-design-system/pull/239" TargetMode="External"/><Relationship Id="rId399" Type="http://schemas.openxmlformats.org/officeDocument/2006/relationships/hyperlink" Target="https://github.com/chromaui/chromatic-e2e/pull/207" TargetMode="External"/><Relationship Id="rId156" Type="http://schemas.openxmlformats.org/officeDocument/2006/relationships/hyperlink" Target="https://github.com/Esri/calcite-design-system/pull/8055" TargetMode="External"/><Relationship Id="rId398" Type="http://schemas.openxmlformats.org/officeDocument/2006/relationships/hyperlink" Target="https://github.com/chromaui/chromatic-e2e/pull/207" TargetMode="External"/><Relationship Id="rId155" Type="http://schemas.openxmlformats.org/officeDocument/2006/relationships/hyperlink" Target="https://github.com/Esri/calcite-design-system/pull/8055" TargetMode="External"/><Relationship Id="rId397" Type="http://schemas.openxmlformats.org/officeDocument/2006/relationships/hyperlink" Target="https://github.com/danskernesdigitalebibliotek/dpl-design-system/pull/650" TargetMode="External"/><Relationship Id="rId808" Type="http://schemas.openxmlformats.org/officeDocument/2006/relationships/hyperlink" Target="https://github.com/metmuseum/marble/pull/185" TargetMode="External"/><Relationship Id="rId807" Type="http://schemas.openxmlformats.org/officeDocument/2006/relationships/hyperlink" Target="https://github.com/coder/coder/pull/3189" TargetMode="External"/><Relationship Id="rId806" Type="http://schemas.openxmlformats.org/officeDocument/2006/relationships/hyperlink" Target="https://github.com/coder/coder/pull/3189" TargetMode="External"/><Relationship Id="rId805" Type="http://schemas.openxmlformats.org/officeDocument/2006/relationships/hyperlink" Target="https://github.com/curology/radiance-ui/pull/1470" TargetMode="External"/><Relationship Id="rId809" Type="http://schemas.openxmlformats.org/officeDocument/2006/relationships/hyperlink" Target="https://github.com/WPMedia/arc-themes-components/pull/121" TargetMode="External"/><Relationship Id="rId800" Type="http://schemas.openxmlformats.org/officeDocument/2006/relationships/hyperlink" Target="https://github.com/WPMedia/arc-themes-components/pull/116" TargetMode="External"/><Relationship Id="rId804" Type="http://schemas.openxmlformats.org/officeDocument/2006/relationships/hyperlink" Target="https://github.com/coder/coder/pull/3189" TargetMode="External"/><Relationship Id="rId803" Type="http://schemas.openxmlformats.org/officeDocument/2006/relationships/hyperlink" Target="https://github.com/coder/coder/pull/3189" TargetMode="External"/><Relationship Id="rId802" Type="http://schemas.openxmlformats.org/officeDocument/2006/relationships/hyperlink" Target="https://github.com/lena1687/react-game-project/pull/1" TargetMode="External"/><Relationship Id="rId801" Type="http://schemas.openxmlformats.org/officeDocument/2006/relationships/hyperlink" Target="https://github.com/WPMedia/arc-themes-components/pull/116" TargetMode="External"/><Relationship Id="rId40" Type="http://schemas.openxmlformats.org/officeDocument/2006/relationships/hyperlink" Target="https://github.com/jpmorganchase/salt-ds/pull/154" TargetMode="External"/><Relationship Id="rId42" Type="http://schemas.openxmlformats.org/officeDocument/2006/relationships/hyperlink" Target="https://github.com/seek-oss/braid-design-system/pull/1240" TargetMode="External"/><Relationship Id="rId41" Type="http://schemas.openxmlformats.org/officeDocument/2006/relationships/hyperlink" Target="https://github.com/seek-oss/braid-design-system/pull/1240" TargetMode="External"/><Relationship Id="rId44" Type="http://schemas.openxmlformats.org/officeDocument/2006/relationships/hyperlink" Target="https://github.com/contentful/forma-36/pull/2436" TargetMode="External"/><Relationship Id="rId43" Type="http://schemas.openxmlformats.org/officeDocument/2006/relationships/hyperlink" Target="https://github.com/twilio-labs/paste/pull/2602" TargetMode="External"/><Relationship Id="rId46" Type="http://schemas.openxmlformats.org/officeDocument/2006/relationships/hyperlink" Target="https://github.com/twilio-labs/paste/pull/2602" TargetMode="External"/><Relationship Id="rId45" Type="http://schemas.openxmlformats.org/officeDocument/2006/relationships/hyperlink" Target="https://github.com/contentful/forma-36/pull/2436" TargetMode="External"/><Relationship Id="rId509" Type="http://schemas.openxmlformats.org/officeDocument/2006/relationships/hyperlink" Target="https://github.com/cultureamp/kaizen-design-system/pull/1218" TargetMode="External"/><Relationship Id="rId508" Type="http://schemas.openxmlformats.org/officeDocument/2006/relationships/hyperlink" Target="https://github.com/sparkdotfi/spark-app/pull/334" TargetMode="External"/><Relationship Id="rId503" Type="http://schemas.openxmlformats.org/officeDocument/2006/relationships/hyperlink" Target="https://github.com/cultureamp/kaizen-design-system/pull/1053" TargetMode="External"/><Relationship Id="rId745" Type="http://schemas.openxmlformats.org/officeDocument/2006/relationships/hyperlink" Target="https://github.com/titicacadev/triple-frontend/pull/1762" TargetMode="External"/><Relationship Id="rId987" Type="http://schemas.openxmlformats.org/officeDocument/2006/relationships/hyperlink" Target="https://github.com/Khan/wonder-blocks/pull/2600" TargetMode="External"/><Relationship Id="rId502" Type="http://schemas.openxmlformats.org/officeDocument/2006/relationships/hyperlink" Target="https://github.com/guardian/dotcom-rendering/pull/12298" TargetMode="External"/><Relationship Id="rId744" Type="http://schemas.openxmlformats.org/officeDocument/2006/relationships/hyperlink" Target="https://github.com/adobe/react-spectrum/pull/3132" TargetMode="External"/><Relationship Id="rId986" Type="http://schemas.openxmlformats.org/officeDocument/2006/relationships/hyperlink" Target="https://github.com/coder/coder/pull/11609" TargetMode="External"/><Relationship Id="rId501" Type="http://schemas.openxmlformats.org/officeDocument/2006/relationships/hyperlink" Target="https://github.com/cultureamp/kaizen-design-system/pull/1053" TargetMode="External"/><Relationship Id="rId743" Type="http://schemas.openxmlformats.org/officeDocument/2006/relationships/hyperlink" Target="https://github.com/adobe/react-spectrum/pull/3132" TargetMode="External"/><Relationship Id="rId985" Type="http://schemas.openxmlformats.org/officeDocument/2006/relationships/hyperlink" Target="https://github.com/WPMedia/arc-themes-blocks/pull/1556" TargetMode="External"/><Relationship Id="rId500" Type="http://schemas.openxmlformats.org/officeDocument/2006/relationships/hyperlink" Target="https://github.com/cultureamp/kaizen-design-system/pull/1053" TargetMode="External"/><Relationship Id="rId742" Type="http://schemas.openxmlformats.org/officeDocument/2006/relationships/hyperlink" Target="https://github.com/input-output-hk/daedalus/pull/2776" TargetMode="External"/><Relationship Id="rId984" Type="http://schemas.openxmlformats.org/officeDocument/2006/relationships/hyperlink" Target="https://github.com/Khan/wonder-blocks/pull/2602" TargetMode="External"/><Relationship Id="rId507" Type="http://schemas.openxmlformats.org/officeDocument/2006/relationships/hyperlink" Target="https://github.com/CruGlobal/mpdx-react/pull/25" TargetMode="External"/><Relationship Id="rId749" Type="http://schemas.openxmlformats.org/officeDocument/2006/relationships/hyperlink" Target="https://github.com/WPMedia/arc-themes-blocks/pull/1365" TargetMode="External"/><Relationship Id="rId506" Type="http://schemas.openxmlformats.org/officeDocument/2006/relationships/hyperlink" Target="https://github.com/CruGlobal/mpdx-react/pull/25" TargetMode="External"/><Relationship Id="rId748" Type="http://schemas.openxmlformats.org/officeDocument/2006/relationships/hyperlink" Target="https://github.com/titicacadev/triple-frontend/pull/1754" TargetMode="External"/><Relationship Id="rId505" Type="http://schemas.openxmlformats.org/officeDocument/2006/relationships/hyperlink" Target="https://github.com/adobe/react-spectrum/pull/7284" TargetMode="External"/><Relationship Id="rId747" Type="http://schemas.openxmlformats.org/officeDocument/2006/relationships/hyperlink" Target="https://github.com/coder/coder/pull/1574" TargetMode="External"/><Relationship Id="rId989" Type="http://schemas.openxmlformats.org/officeDocument/2006/relationships/hyperlink" Target="https://github.com/recharts/recharts/pull/4561" TargetMode="External"/><Relationship Id="rId504" Type="http://schemas.openxmlformats.org/officeDocument/2006/relationships/hyperlink" Target="https://github.com/cultureamp/kaizen-design-system/pull/1053" TargetMode="External"/><Relationship Id="rId746" Type="http://schemas.openxmlformats.org/officeDocument/2006/relationships/hyperlink" Target="https://github.com/coder/coder/pull/1574" TargetMode="External"/><Relationship Id="rId988" Type="http://schemas.openxmlformats.org/officeDocument/2006/relationships/hyperlink" Target="https://github.com/storybookjs/storybook/pull/19952" TargetMode="External"/><Relationship Id="rId48" Type="http://schemas.openxmlformats.org/officeDocument/2006/relationships/hyperlink" Target="https://github.com/contentful/forma-36/pull/2436" TargetMode="External"/><Relationship Id="rId47" Type="http://schemas.openxmlformats.org/officeDocument/2006/relationships/hyperlink" Target="https://github.com/contentful/forma-36/pull/2436" TargetMode="External"/><Relationship Id="rId49" Type="http://schemas.openxmlformats.org/officeDocument/2006/relationships/hyperlink" Target="https://github.com/e-gov/cvi/pull/113" TargetMode="External"/><Relationship Id="rId741" Type="http://schemas.openxmlformats.org/officeDocument/2006/relationships/hyperlink" Target="https://github.com/contentful/forma-36/pull/2057" TargetMode="External"/><Relationship Id="rId983" Type="http://schemas.openxmlformats.org/officeDocument/2006/relationships/hyperlink" Target="https://github.com/backstage/backstage/pull/21482" TargetMode="External"/><Relationship Id="rId740" Type="http://schemas.openxmlformats.org/officeDocument/2006/relationships/hyperlink" Target="https://github.com/contentful/forma-36/pull/2057" TargetMode="External"/><Relationship Id="rId982" Type="http://schemas.openxmlformats.org/officeDocument/2006/relationships/hyperlink" Target="https://github.com/iterative/vscode-dvc/pull/2850" TargetMode="External"/><Relationship Id="rId981" Type="http://schemas.openxmlformats.org/officeDocument/2006/relationships/hyperlink" Target="https://github.com/Khan/wonder-blocks/pull/2602" TargetMode="External"/><Relationship Id="rId980" Type="http://schemas.openxmlformats.org/officeDocument/2006/relationships/hyperlink" Target="https://github.com/homebound-team/beam/pull/900" TargetMode="External"/><Relationship Id="rId31" Type="http://schemas.openxmlformats.org/officeDocument/2006/relationships/hyperlink" Target="https://github.com/storybookjs/storybook/pull/17756" TargetMode="External"/><Relationship Id="rId30" Type="http://schemas.openxmlformats.org/officeDocument/2006/relationships/hyperlink" Target="https://github.com/ithaka/pharos/pull/503" TargetMode="External"/><Relationship Id="rId33" Type="http://schemas.openxmlformats.org/officeDocument/2006/relationships/hyperlink" Target="https://github.com/adobe/react-spectrum/pull/4243" TargetMode="External"/><Relationship Id="rId32" Type="http://schemas.openxmlformats.org/officeDocument/2006/relationships/hyperlink" Target="https://github.com/adobe/react-spectrum/pull/4243" TargetMode="External"/><Relationship Id="rId35" Type="http://schemas.openxmlformats.org/officeDocument/2006/relationships/hyperlink" Target="https://github.com/NeurodataWithoutBorders/nwb-guide/pull/74" TargetMode="External"/><Relationship Id="rId34" Type="http://schemas.openxmlformats.org/officeDocument/2006/relationships/hyperlink" Target="https://github.com/guardian/source/pull/1307" TargetMode="External"/><Relationship Id="rId739" Type="http://schemas.openxmlformats.org/officeDocument/2006/relationships/hyperlink" Target="https://github.com/dpc-sdp/ripple/pull/1111" TargetMode="External"/><Relationship Id="rId734" Type="http://schemas.openxmlformats.org/officeDocument/2006/relationships/hyperlink" Target="https://github.com/WPMedia/arc-themes-blocks/pull/1332" TargetMode="External"/><Relationship Id="rId976" Type="http://schemas.openxmlformats.org/officeDocument/2006/relationships/hyperlink" Target="https://github.com/guardian/dotcom-rendering/pull/6235" TargetMode="External"/><Relationship Id="rId733" Type="http://schemas.openxmlformats.org/officeDocument/2006/relationships/hyperlink" Target="https://github.com/guardian/dotcom-rendering/pull/3645" TargetMode="External"/><Relationship Id="rId975" Type="http://schemas.openxmlformats.org/officeDocument/2006/relationships/hyperlink" Target="https://github.com/coder/coder/pull/17822" TargetMode="External"/><Relationship Id="rId732" Type="http://schemas.openxmlformats.org/officeDocument/2006/relationships/hyperlink" Target="https://github.com/WPMedia/arc-themes-blocks/pull/1345" TargetMode="External"/><Relationship Id="rId974" Type="http://schemas.openxmlformats.org/officeDocument/2006/relationships/hyperlink" Target="https://github.com/e-gov/cvi/pull/113" TargetMode="External"/><Relationship Id="rId731" Type="http://schemas.openxmlformats.org/officeDocument/2006/relationships/hyperlink" Target="https://github.com/WPMedia/arc-themes-blocks/pull/1345" TargetMode="External"/><Relationship Id="rId973" Type="http://schemas.openxmlformats.org/officeDocument/2006/relationships/hyperlink" Target="https://github.com/guardian/dotcom-rendering/pull/6258" TargetMode="External"/><Relationship Id="rId738" Type="http://schemas.openxmlformats.org/officeDocument/2006/relationships/hyperlink" Target="https://github.com/WPMedia/arc-themes-blocks/pull/1335" TargetMode="External"/><Relationship Id="rId737" Type="http://schemas.openxmlformats.org/officeDocument/2006/relationships/hyperlink" Target="https://github.com/WPMedia/arc-themes-blocks/pull/1335" TargetMode="External"/><Relationship Id="rId979" Type="http://schemas.openxmlformats.org/officeDocument/2006/relationships/hyperlink" Target="https://github.com/Trendyol/baklava/pull/327" TargetMode="External"/><Relationship Id="rId736" Type="http://schemas.openxmlformats.org/officeDocument/2006/relationships/hyperlink" Target="https://github.com/cultureamp/kaizen-design-system/pull/2300" TargetMode="External"/><Relationship Id="rId978" Type="http://schemas.openxmlformats.org/officeDocument/2006/relationships/hyperlink" Target="https://github.com/storacha/bluesky-backup-webapp-server/pull/171" TargetMode="External"/><Relationship Id="rId735" Type="http://schemas.openxmlformats.org/officeDocument/2006/relationships/hyperlink" Target="https://github.com/WPMedia/arc-themes-blocks/pull/1332" TargetMode="External"/><Relationship Id="rId977" Type="http://schemas.openxmlformats.org/officeDocument/2006/relationships/hyperlink" Target="https://github.com/ithaka/pharos/pull/570" TargetMode="External"/><Relationship Id="rId37" Type="http://schemas.openxmlformats.org/officeDocument/2006/relationships/hyperlink" Target="https://github.com/hackworthltd/primer-app/pull/332" TargetMode="External"/><Relationship Id="rId36" Type="http://schemas.openxmlformats.org/officeDocument/2006/relationships/hyperlink" Target="https://github.com/NeurodataWithoutBorders/nwb-guide/pull/74" TargetMode="External"/><Relationship Id="rId39" Type="http://schemas.openxmlformats.org/officeDocument/2006/relationships/hyperlink" Target="https://github.com/NeurodataWithoutBorders/nwb-guide/pull/74" TargetMode="External"/><Relationship Id="rId38" Type="http://schemas.openxmlformats.org/officeDocument/2006/relationships/hyperlink" Target="https://github.com/NeurodataWithoutBorders/nwb-guide/pull/74" TargetMode="External"/><Relationship Id="rId730" Type="http://schemas.openxmlformats.org/officeDocument/2006/relationships/hyperlink" Target="https://github.com/guardian/dotcom-rendering/pull/3645" TargetMode="External"/><Relationship Id="rId972" Type="http://schemas.openxmlformats.org/officeDocument/2006/relationships/hyperlink" Target="https://github.com/nodejs/nodejs.org/pull/7754" TargetMode="External"/><Relationship Id="rId971" Type="http://schemas.openxmlformats.org/officeDocument/2006/relationships/hyperlink" Target="https://github.com/twilio-labs/paste/pull/2602" TargetMode="External"/><Relationship Id="rId970" Type="http://schemas.openxmlformats.org/officeDocument/2006/relationships/hyperlink" Target="https://github.com/coder/coder/pull/4810" TargetMode="External"/><Relationship Id="rId20" Type="http://schemas.openxmlformats.org/officeDocument/2006/relationships/hyperlink" Target="https://github.com/guardian/dotcom-rendering/pull/7128" TargetMode="External"/><Relationship Id="rId22" Type="http://schemas.openxmlformats.org/officeDocument/2006/relationships/hyperlink" Target="https://github.com/adobe/react-spectrum/pull/2515" TargetMode="External"/><Relationship Id="rId21" Type="http://schemas.openxmlformats.org/officeDocument/2006/relationships/hyperlink" Target="https://github.com/guardian/dotcom-rendering/pull/7128" TargetMode="External"/><Relationship Id="rId24" Type="http://schemas.openxmlformats.org/officeDocument/2006/relationships/hyperlink" Target="https://github.com/guardian/dotcom-rendering/pull/7128" TargetMode="External"/><Relationship Id="rId23" Type="http://schemas.openxmlformats.org/officeDocument/2006/relationships/hyperlink" Target="https://github.com/guardian/dotcom-rendering/pull/7128" TargetMode="External"/><Relationship Id="rId525" Type="http://schemas.openxmlformats.org/officeDocument/2006/relationships/hyperlink" Target="https://github.com/metmuseum/marble/pull/121" TargetMode="External"/><Relationship Id="rId767" Type="http://schemas.openxmlformats.org/officeDocument/2006/relationships/hyperlink" Target="https://github.com/WPMedia/arc-themes-blocks/pull/1373" TargetMode="External"/><Relationship Id="rId524" Type="http://schemas.openxmlformats.org/officeDocument/2006/relationships/hyperlink" Target="https://github.com/metmuseum/marble/pull/121" TargetMode="External"/><Relationship Id="rId766" Type="http://schemas.openxmlformats.org/officeDocument/2006/relationships/hyperlink" Target="https://github.com/guardian/dotcom-rendering/pull/3724" TargetMode="External"/><Relationship Id="rId523" Type="http://schemas.openxmlformats.org/officeDocument/2006/relationships/hyperlink" Target="https://github.com/Esri/calcite-design-system/pull/10820" TargetMode="External"/><Relationship Id="rId765" Type="http://schemas.openxmlformats.org/officeDocument/2006/relationships/hyperlink" Target="https://github.com/guardian/dotcom-rendering/pull/5128" TargetMode="External"/><Relationship Id="rId522" Type="http://schemas.openxmlformats.org/officeDocument/2006/relationships/hyperlink" Target="https://github.com/homebound-team/beam/pull/61" TargetMode="External"/><Relationship Id="rId764" Type="http://schemas.openxmlformats.org/officeDocument/2006/relationships/hyperlink" Target="https://github.com/guardian/dotcom-rendering/pull/5128" TargetMode="External"/><Relationship Id="rId529" Type="http://schemas.openxmlformats.org/officeDocument/2006/relationships/hyperlink" Target="https://github.com/kufu/smarthr-ui/pull/5091" TargetMode="External"/><Relationship Id="rId528" Type="http://schemas.openxmlformats.org/officeDocument/2006/relationships/hyperlink" Target="https://github.com/storybookjs/storybook/pull/15059" TargetMode="External"/><Relationship Id="rId527" Type="http://schemas.openxmlformats.org/officeDocument/2006/relationships/hyperlink" Target="https://github.com/storybookjs/storybook/pull/15059" TargetMode="External"/><Relationship Id="rId769" Type="http://schemas.openxmlformats.org/officeDocument/2006/relationships/hyperlink" Target="https://github.com/Workday/canvas-kit/pull/1441" TargetMode="External"/><Relationship Id="rId526" Type="http://schemas.openxmlformats.org/officeDocument/2006/relationships/hyperlink" Target="https://github.com/opendatasoft/ods-dataviz-sdk/pull/266" TargetMode="External"/><Relationship Id="rId768" Type="http://schemas.openxmlformats.org/officeDocument/2006/relationships/hyperlink" Target="https://github.com/WPMedia/arc-themes-blocks/pull/1373" TargetMode="External"/><Relationship Id="rId26" Type="http://schemas.openxmlformats.org/officeDocument/2006/relationships/hyperlink" Target="https://github.com/guardian/dotcom-rendering/pull/7128" TargetMode="External"/><Relationship Id="rId25" Type="http://schemas.openxmlformats.org/officeDocument/2006/relationships/hyperlink" Target="https://github.com/ni/nimble/pull/260" TargetMode="External"/><Relationship Id="rId28" Type="http://schemas.openxmlformats.org/officeDocument/2006/relationships/hyperlink" Target="https://github.com/Workday/canvas-kit/pull/1426" TargetMode="External"/><Relationship Id="rId27" Type="http://schemas.openxmlformats.org/officeDocument/2006/relationships/hyperlink" Target="https://github.com/guardian/dotcom-rendering/pull/7128" TargetMode="External"/><Relationship Id="rId521" Type="http://schemas.openxmlformats.org/officeDocument/2006/relationships/hyperlink" Target="https://github.com/homebound-team/beam/pull/61" TargetMode="External"/><Relationship Id="rId763" Type="http://schemas.openxmlformats.org/officeDocument/2006/relationships/hyperlink" Target="https://github.com/Khan/wonder-blocks/pull/1257" TargetMode="External"/><Relationship Id="rId29" Type="http://schemas.openxmlformats.org/officeDocument/2006/relationships/hyperlink" Target="https://github.com/ithaka/pharos/pull/503" TargetMode="External"/><Relationship Id="rId520" Type="http://schemas.openxmlformats.org/officeDocument/2006/relationships/hyperlink" Target="https://github.com/Sage/carbon/pull/7091" TargetMode="External"/><Relationship Id="rId762" Type="http://schemas.openxmlformats.org/officeDocument/2006/relationships/hyperlink" Target="https://github.com/GCTC-NTGC/gc-digital-talent/pull/2728" TargetMode="External"/><Relationship Id="rId761" Type="http://schemas.openxmlformats.org/officeDocument/2006/relationships/hyperlink" Target="https://github.com/GCTC-NTGC/gc-digital-talent/pull/2728" TargetMode="External"/><Relationship Id="rId760" Type="http://schemas.openxmlformats.org/officeDocument/2006/relationships/hyperlink" Target="https://github.com/Workday/canvas-kit/pull/1396" TargetMode="External"/><Relationship Id="rId11" Type="http://schemas.openxmlformats.org/officeDocument/2006/relationships/hyperlink" Target="https://github.com/guardian/dotcom-rendering/pull/6954" TargetMode="External"/><Relationship Id="rId10" Type="http://schemas.openxmlformats.org/officeDocument/2006/relationships/hyperlink" Target="https://github.com/storybookjs/storybook/pull/15080" TargetMode="External"/><Relationship Id="rId13" Type="http://schemas.openxmlformats.org/officeDocument/2006/relationships/hyperlink" Target="https://github.com/storybookjs/storybook/pull/15080" TargetMode="External"/><Relationship Id="rId12" Type="http://schemas.openxmlformats.org/officeDocument/2006/relationships/hyperlink" Target="https://github.com/guardian/dotcom-rendering/pull/6954" TargetMode="External"/><Relationship Id="rId519" Type="http://schemas.openxmlformats.org/officeDocument/2006/relationships/hyperlink" Target="https://github.com/storybookjs/storybook/pull/14172" TargetMode="External"/><Relationship Id="rId514" Type="http://schemas.openxmlformats.org/officeDocument/2006/relationships/hyperlink" Target="https://github.com/VOICEVOX/voicevox/pull/2287" TargetMode="External"/><Relationship Id="rId756" Type="http://schemas.openxmlformats.org/officeDocument/2006/relationships/hyperlink" Target="https://github.com/GCTC-NTGC/gc-digital-talent/pull/2728" TargetMode="External"/><Relationship Id="rId998" Type="http://schemas.openxmlformats.org/officeDocument/2006/relationships/hyperlink" Target="https://github.com/nulogy/design-system/pull/1447" TargetMode="External"/><Relationship Id="rId513" Type="http://schemas.openxmlformats.org/officeDocument/2006/relationships/hyperlink" Target="https://github.com/storybookjs/storybook/pull/14251" TargetMode="External"/><Relationship Id="rId755" Type="http://schemas.openxmlformats.org/officeDocument/2006/relationships/hyperlink" Target="https://github.com/GCTC-NTGC/gc-digital-talent/pull/2728" TargetMode="External"/><Relationship Id="rId997" Type="http://schemas.openxmlformats.org/officeDocument/2006/relationships/hyperlink" Target="https://github.com/Khan/wonder-blocks/pull/1645" TargetMode="External"/><Relationship Id="rId512" Type="http://schemas.openxmlformats.org/officeDocument/2006/relationships/hyperlink" Target="https://github.com/storybookjs/storybook/pull/14251" TargetMode="External"/><Relationship Id="rId754" Type="http://schemas.openxmlformats.org/officeDocument/2006/relationships/hyperlink" Target="https://github.com/homebound-team/beam/pull/409" TargetMode="External"/><Relationship Id="rId996" Type="http://schemas.openxmlformats.org/officeDocument/2006/relationships/hyperlink" Target="https://github.com/coder/coder/pull/18445" TargetMode="External"/><Relationship Id="rId511" Type="http://schemas.openxmlformats.org/officeDocument/2006/relationships/hyperlink" Target="https://github.com/Esri/calcite-design-system/pull/10621" TargetMode="External"/><Relationship Id="rId753" Type="http://schemas.openxmlformats.org/officeDocument/2006/relationships/hyperlink" Target="https://github.com/chanzuckerberg/edu-design-system/pull/1083" TargetMode="External"/><Relationship Id="rId995" Type="http://schemas.openxmlformats.org/officeDocument/2006/relationships/hyperlink" Target="https://github.com/4A2RfF5Q5x/learnstorybook-design-system/pull/2" TargetMode="External"/><Relationship Id="rId518" Type="http://schemas.openxmlformats.org/officeDocument/2006/relationships/hyperlink" Target="https://github.com/storybookjs/storybook/pull/14172" TargetMode="External"/><Relationship Id="rId517" Type="http://schemas.openxmlformats.org/officeDocument/2006/relationships/hyperlink" Target="https://github.com/Longhorn-Developers/UT-Registration-Plus/pull/425" TargetMode="External"/><Relationship Id="rId759" Type="http://schemas.openxmlformats.org/officeDocument/2006/relationships/hyperlink" Target="https://github.com/GCTC-NTGC/gc-digital-talent/pull/2728" TargetMode="External"/><Relationship Id="rId516" Type="http://schemas.openxmlformats.org/officeDocument/2006/relationships/hyperlink" Target="https://github.com/storybookjs/storybook/pull/14251" TargetMode="External"/><Relationship Id="rId758" Type="http://schemas.openxmlformats.org/officeDocument/2006/relationships/hyperlink" Target="https://github.com/GCTC-NTGC/gc-digital-talent/pull/2728" TargetMode="External"/><Relationship Id="rId515" Type="http://schemas.openxmlformats.org/officeDocument/2006/relationships/hyperlink" Target="https://github.com/storybookjs/storybook/pull/14251" TargetMode="External"/><Relationship Id="rId757" Type="http://schemas.openxmlformats.org/officeDocument/2006/relationships/hyperlink" Target="https://github.com/homebound-team/beam/pull/409" TargetMode="External"/><Relationship Id="rId999" Type="http://schemas.openxmlformats.org/officeDocument/2006/relationships/hyperlink" Target="https://github.com/Esri/calcite-design-system/pull/12595" TargetMode="External"/><Relationship Id="rId15" Type="http://schemas.openxmlformats.org/officeDocument/2006/relationships/hyperlink" Target="https://github.com/GCTC-NTGC/gc-digital-talent/pull/5740" TargetMode="External"/><Relationship Id="rId990" Type="http://schemas.openxmlformats.org/officeDocument/2006/relationships/hyperlink" Target="https://github.com/recharts/recharts/pull/6008" TargetMode="External"/><Relationship Id="rId14" Type="http://schemas.openxmlformats.org/officeDocument/2006/relationships/hyperlink" Target="https://github.com/GCTC-NTGC/gc-digital-talent/pull/5740" TargetMode="External"/><Relationship Id="rId17" Type="http://schemas.openxmlformats.org/officeDocument/2006/relationships/hyperlink" Target="https://github.com/storybookjs/storybook/pull/20995" TargetMode="External"/><Relationship Id="rId16" Type="http://schemas.openxmlformats.org/officeDocument/2006/relationships/hyperlink" Target="https://github.com/nickooms/learnstorybook-design-system/pull/1" TargetMode="External"/><Relationship Id="rId19" Type="http://schemas.openxmlformats.org/officeDocument/2006/relationships/hyperlink" Target="https://github.com/adobe/react-spectrum/pull/2515" TargetMode="External"/><Relationship Id="rId510" Type="http://schemas.openxmlformats.org/officeDocument/2006/relationships/hyperlink" Target="https://github.com/cultureamp/kaizen-design-system/pull/1218" TargetMode="External"/><Relationship Id="rId752" Type="http://schemas.openxmlformats.org/officeDocument/2006/relationships/hyperlink" Target="https://github.com/chanzuckerberg/edu-design-system/pull/1083" TargetMode="External"/><Relationship Id="rId994" Type="http://schemas.openxmlformats.org/officeDocument/2006/relationships/hyperlink" Target="https://github.com/sbb-design-systems/lyne-components/pull/1461" TargetMode="External"/><Relationship Id="rId18" Type="http://schemas.openxmlformats.org/officeDocument/2006/relationships/hyperlink" Target="https://github.com/storybookjs/storybook/pull/20995" TargetMode="External"/><Relationship Id="rId751" Type="http://schemas.openxmlformats.org/officeDocument/2006/relationships/hyperlink" Target="https://github.com/titicacadev/triple-frontend/pull/1754" TargetMode="External"/><Relationship Id="rId993" Type="http://schemas.openxmlformats.org/officeDocument/2006/relationships/hyperlink" Target="https://github.com/Khan/wonder-blocks/pull/2661" TargetMode="External"/><Relationship Id="rId750" Type="http://schemas.openxmlformats.org/officeDocument/2006/relationships/hyperlink" Target="https://github.com/WPMedia/arc-themes-blocks/pull/1365" TargetMode="External"/><Relationship Id="rId992" Type="http://schemas.openxmlformats.org/officeDocument/2006/relationships/hyperlink" Target="https://github.com/ni/nimble/pull/2341" TargetMode="External"/><Relationship Id="rId991" Type="http://schemas.openxmlformats.org/officeDocument/2006/relationships/hyperlink" Target="https://github.com/ni/nimble/pull/834" TargetMode="External"/><Relationship Id="rId84" Type="http://schemas.openxmlformats.org/officeDocument/2006/relationships/hyperlink" Target="https://github.com/input-output-hk/lace/pull/128" TargetMode="External"/><Relationship Id="rId83" Type="http://schemas.openxmlformats.org/officeDocument/2006/relationships/hyperlink" Target="https://github.com/input-output-hk/lace/pull/128" TargetMode="External"/><Relationship Id="rId86" Type="http://schemas.openxmlformats.org/officeDocument/2006/relationships/hyperlink" Target="https://github.com/input-output-hk/lace/pull/128" TargetMode="External"/><Relationship Id="rId85" Type="http://schemas.openxmlformats.org/officeDocument/2006/relationships/hyperlink" Target="https://github.com/storybookjs/storybook/pull/20712" TargetMode="External"/><Relationship Id="rId88" Type="http://schemas.openxmlformats.org/officeDocument/2006/relationships/hyperlink" Target="https://github.com/ni/nimble/pull/966" TargetMode="External"/><Relationship Id="rId87" Type="http://schemas.openxmlformats.org/officeDocument/2006/relationships/hyperlink" Target="https://github.com/input-output-hk/lace/pull/128" TargetMode="External"/><Relationship Id="rId89" Type="http://schemas.openxmlformats.org/officeDocument/2006/relationships/hyperlink" Target="https://github.com/contentful/forma-36/pull/2498" TargetMode="External"/><Relationship Id="rId709" Type="http://schemas.openxmlformats.org/officeDocument/2006/relationships/hyperlink" Target="https://github.com/WPMedia/arc-themes-blocks/pull/1092" TargetMode="External"/><Relationship Id="rId708" Type="http://schemas.openxmlformats.org/officeDocument/2006/relationships/hyperlink" Target="https://github.com/ntls-io/nautilus-wallet/pull/160" TargetMode="External"/><Relationship Id="rId707" Type="http://schemas.openxmlformats.org/officeDocument/2006/relationships/hyperlink" Target="https://github.com/ntls-io/nautilus-wallet/pull/160" TargetMode="External"/><Relationship Id="rId949" Type="http://schemas.openxmlformats.org/officeDocument/2006/relationships/hyperlink" Target="https://github.com/storybookjs/components-marketing/pull/35" TargetMode="External"/><Relationship Id="rId706" Type="http://schemas.openxmlformats.org/officeDocument/2006/relationships/hyperlink" Target="https://github.com/WPMedia/arc-themes-blocks/pull/1092" TargetMode="External"/><Relationship Id="rId948" Type="http://schemas.openxmlformats.org/officeDocument/2006/relationships/hyperlink" Target="https://github.com/Khan/wonder-blocks/pull/2508" TargetMode="External"/><Relationship Id="rId80" Type="http://schemas.openxmlformats.org/officeDocument/2006/relationships/hyperlink" Target="https://github.com/NeurodataWithoutBorders/nwb-guide/pull/219" TargetMode="External"/><Relationship Id="rId82" Type="http://schemas.openxmlformats.org/officeDocument/2006/relationships/hyperlink" Target="https://github.com/storybookjs/storybook/pull/20712" TargetMode="External"/><Relationship Id="rId81" Type="http://schemas.openxmlformats.org/officeDocument/2006/relationships/hyperlink" Target="https://github.com/NeurodataWithoutBorders/nwb-guide/pull/219" TargetMode="External"/><Relationship Id="rId701" Type="http://schemas.openxmlformats.org/officeDocument/2006/relationships/hyperlink" Target="https://github.com/guardian/gateway/pull/1575" TargetMode="External"/><Relationship Id="rId943" Type="http://schemas.openxmlformats.org/officeDocument/2006/relationships/hyperlink" Target="https://github.com/dpc-sdp/ripple-framework/pull/224" TargetMode="External"/><Relationship Id="rId700" Type="http://schemas.openxmlformats.org/officeDocument/2006/relationships/hyperlink" Target="https://github.com/eisbuk/EisBuk/pull/183" TargetMode="External"/><Relationship Id="rId942" Type="http://schemas.openxmlformats.org/officeDocument/2006/relationships/hyperlink" Target="https://github.com/temporalio/ui/pull/2599" TargetMode="External"/><Relationship Id="rId941" Type="http://schemas.openxmlformats.org/officeDocument/2006/relationships/hyperlink" Target="https://github.com/nickooms/learnstorybook-design-system/pull/1" TargetMode="External"/><Relationship Id="rId940" Type="http://schemas.openxmlformats.org/officeDocument/2006/relationships/hyperlink" Target="https://github.com/storybookjs/storybook/pull/19189" TargetMode="External"/><Relationship Id="rId705" Type="http://schemas.openxmlformats.org/officeDocument/2006/relationships/hyperlink" Target="https://github.com/ni/nimble/pull/406" TargetMode="External"/><Relationship Id="rId947" Type="http://schemas.openxmlformats.org/officeDocument/2006/relationships/hyperlink" Target="https://github.com/adobe/react-spectrum/pull/2515" TargetMode="External"/><Relationship Id="rId704" Type="http://schemas.openxmlformats.org/officeDocument/2006/relationships/hyperlink" Target="https://github.com/ni/nimble/pull/406" TargetMode="External"/><Relationship Id="rId946" Type="http://schemas.openxmlformats.org/officeDocument/2006/relationships/hyperlink" Target="https://github.com/GCTC-NTGC/gc-digital-talent/pull/3865" TargetMode="External"/><Relationship Id="rId703" Type="http://schemas.openxmlformats.org/officeDocument/2006/relationships/hyperlink" Target="https://github.com/eisbuk/EisBuk/pull/183" TargetMode="External"/><Relationship Id="rId945" Type="http://schemas.openxmlformats.org/officeDocument/2006/relationships/hyperlink" Target="https://github.com/Khan/wonder-blocks/pull/2508" TargetMode="External"/><Relationship Id="rId702" Type="http://schemas.openxmlformats.org/officeDocument/2006/relationships/hyperlink" Target="https://github.com/guardian/gateway/pull/1575" TargetMode="External"/><Relationship Id="rId944" Type="http://schemas.openxmlformats.org/officeDocument/2006/relationships/hyperlink" Target="https://github.com/adobe/react-spectrum/pull/2515" TargetMode="External"/><Relationship Id="rId73" Type="http://schemas.openxmlformats.org/officeDocument/2006/relationships/hyperlink" Target="https://github.com/nulogy/design-system/pull/1447" TargetMode="External"/><Relationship Id="rId72" Type="http://schemas.openxmlformats.org/officeDocument/2006/relationships/hyperlink" Target="https://github.com/ForgeRock/forgerock-web-login-framework/pull/121" TargetMode="External"/><Relationship Id="rId75" Type="http://schemas.openxmlformats.org/officeDocument/2006/relationships/hyperlink" Target="https://github.com/ForgeRock/forgerock-web-login-framework/pull/121" TargetMode="External"/><Relationship Id="rId74" Type="http://schemas.openxmlformats.org/officeDocument/2006/relationships/hyperlink" Target="https://github.com/ForgeRock/forgerock-web-login-framework/pull/121" TargetMode="External"/><Relationship Id="rId77" Type="http://schemas.openxmlformats.org/officeDocument/2006/relationships/hyperlink" Target="https://github.com/danskernesdigitalebibliotek/dpl-design-system/pull/239" TargetMode="External"/><Relationship Id="rId76" Type="http://schemas.openxmlformats.org/officeDocument/2006/relationships/hyperlink" Target="https://github.com/Esri/calcite-design-system/pull/10724" TargetMode="External"/><Relationship Id="rId79" Type="http://schemas.openxmlformats.org/officeDocument/2006/relationships/hyperlink" Target="https://github.com/coder/coder/pull/16020" TargetMode="External"/><Relationship Id="rId78" Type="http://schemas.openxmlformats.org/officeDocument/2006/relationships/hyperlink" Target="https://github.com/danskernesdigitalebibliotek/dpl-design-system/pull/239" TargetMode="External"/><Relationship Id="rId939" Type="http://schemas.openxmlformats.org/officeDocument/2006/relationships/hyperlink" Target="https://github.com/openops-cloud/openops/pull/286" TargetMode="External"/><Relationship Id="rId938" Type="http://schemas.openxmlformats.org/officeDocument/2006/relationships/hyperlink" Target="https://github.com/storybookjs/storybook/pull/15080" TargetMode="External"/><Relationship Id="rId937" Type="http://schemas.openxmlformats.org/officeDocument/2006/relationships/hyperlink" Target="https://github.com/launchdarkly/launchpad-ui/pull/351" TargetMode="External"/><Relationship Id="rId71" Type="http://schemas.openxmlformats.org/officeDocument/2006/relationships/hyperlink" Target="https://github.com/ForgeRock/forgerock-web-login-framework/pull/121" TargetMode="External"/><Relationship Id="rId70" Type="http://schemas.openxmlformats.org/officeDocument/2006/relationships/hyperlink" Target="https://github.com/4A2RfF5Q5x/learnstorybook-design-system/pull/2" TargetMode="External"/><Relationship Id="rId932" Type="http://schemas.openxmlformats.org/officeDocument/2006/relationships/hyperlink" Target="https://github.com/storybookjs/storybook/pull/15080" TargetMode="External"/><Relationship Id="rId931" Type="http://schemas.openxmlformats.org/officeDocument/2006/relationships/hyperlink" Target="https://github.com/tablecheck/tablekit/pull/122" TargetMode="External"/><Relationship Id="rId930" Type="http://schemas.openxmlformats.org/officeDocument/2006/relationships/hyperlink" Target="https://github.com/department-of-veterans-affairs/component-library/pull/1487" TargetMode="External"/><Relationship Id="rId936" Type="http://schemas.openxmlformats.org/officeDocument/2006/relationships/hyperlink" Target="https://github.com/Esri/calcite-design-system/pull/11759" TargetMode="External"/><Relationship Id="rId935" Type="http://schemas.openxmlformats.org/officeDocument/2006/relationships/hyperlink" Target="https://github.com/storybookjs/storybook/pull/15080" TargetMode="External"/><Relationship Id="rId934" Type="http://schemas.openxmlformats.org/officeDocument/2006/relationships/hyperlink" Target="https://github.com/chanzuckerberg/sci-components/pull/236" TargetMode="External"/><Relationship Id="rId933" Type="http://schemas.openxmlformats.org/officeDocument/2006/relationships/hyperlink" Target="https://github.com/opengovsg/isomer/pull/1144" TargetMode="External"/><Relationship Id="rId62" Type="http://schemas.openxmlformats.org/officeDocument/2006/relationships/hyperlink" Target="https://github.com/coder/coder/pull/7210" TargetMode="External"/><Relationship Id="rId61" Type="http://schemas.openxmlformats.org/officeDocument/2006/relationships/hyperlink" Target="https://github.com/coder/coder/pull/11609" TargetMode="External"/><Relationship Id="rId64" Type="http://schemas.openxmlformats.org/officeDocument/2006/relationships/hyperlink" Target="https://github.com/recharts/recharts/pull/4561" TargetMode="External"/><Relationship Id="rId63" Type="http://schemas.openxmlformats.org/officeDocument/2006/relationships/hyperlink" Target="https://github.com/coder/coder/pull/7210" TargetMode="External"/><Relationship Id="rId66" Type="http://schemas.openxmlformats.org/officeDocument/2006/relationships/hyperlink" Target="https://github.com/forkfacts/forkfacts-v2/pull/26" TargetMode="External"/><Relationship Id="rId65" Type="http://schemas.openxmlformats.org/officeDocument/2006/relationships/hyperlink" Target="https://github.com/forkfacts/forkfacts-v2/pull/26" TargetMode="External"/><Relationship Id="rId68" Type="http://schemas.openxmlformats.org/officeDocument/2006/relationships/hyperlink" Target="https://github.com/storybookjs/storybook/pull/22336" TargetMode="External"/><Relationship Id="rId67" Type="http://schemas.openxmlformats.org/officeDocument/2006/relationships/hyperlink" Target="https://github.com/ni/nimble/pull/2341" TargetMode="External"/><Relationship Id="rId729" Type="http://schemas.openxmlformats.org/officeDocument/2006/relationships/hyperlink" Target="https://github.com/WPMedia/arc-themes-blocks/pull/1345" TargetMode="External"/><Relationship Id="rId728" Type="http://schemas.openxmlformats.org/officeDocument/2006/relationships/hyperlink" Target="https://github.com/WPMedia/arc-themes-blocks/pull/1345" TargetMode="External"/><Relationship Id="rId60" Type="http://schemas.openxmlformats.org/officeDocument/2006/relationships/hyperlink" Target="https://github.com/coder/coder/pull/7210" TargetMode="External"/><Relationship Id="rId723" Type="http://schemas.openxmlformats.org/officeDocument/2006/relationships/hyperlink" Target="https://github.com/coder/coder/pull/981" TargetMode="External"/><Relationship Id="rId965" Type="http://schemas.openxmlformats.org/officeDocument/2006/relationships/hyperlink" Target="https://github.com/jpmorganchase/salt-ds/pull/154" TargetMode="External"/><Relationship Id="rId722" Type="http://schemas.openxmlformats.org/officeDocument/2006/relationships/hyperlink" Target="https://github.com/coder/coder/pull/981" TargetMode="External"/><Relationship Id="rId964" Type="http://schemas.openxmlformats.org/officeDocument/2006/relationships/hyperlink" Target="https://github.com/chanzuckerberg/edu-design-system/pull/1346" TargetMode="External"/><Relationship Id="rId721" Type="http://schemas.openxmlformats.org/officeDocument/2006/relationships/hyperlink" Target="https://github.com/guardian/dotcom-rendering/pull/3519" TargetMode="External"/><Relationship Id="rId963" Type="http://schemas.openxmlformats.org/officeDocument/2006/relationships/hyperlink" Target="https://github.com/Khan/wonder-blocks/pull/2563" TargetMode="External"/><Relationship Id="rId720" Type="http://schemas.openxmlformats.org/officeDocument/2006/relationships/hyperlink" Target="https://github.com/metmuseum/marble/pull/185" TargetMode="External"/><Relationship Id="rId962" Type="http://schemas.openxmlformats.org/officeDocument/2006/relationships/hyperlink" Target="https://github.com/hackworthltd/primer-app/pull/332" TargetMode="External"/><Relationship Id="rId727" Type="http://schemas.openxmlformats.org/officeDocument/2006/relationships/hyperlink" Target="https://github.com/ntls-io/nautilus-wallet/pull/136" TargetMode="External"/><Relationship Id="rId969" Type="http://schemas.openxmlformats.org/officeDocument/2006/relationships/hyperlink" Target="https://github.com/nodejs/nodejs.org/pull/7754" TargetMode="External"/><Relationship Id="rId726" Type="http://schemas.openxmlformats.org/officeDocument/2006/relationships/hyperlink" Target="https://github.com/WPMedia/arc-themes-blocks/pull/1347" TargetMode="External"/><Relationship Id="rId968" Type="http://schemas.openxmlformats.org/officeDocument/2006/relationships/hyperlink" Target="https://github.com/twilio-labs/paste/pull/2602" TargetMode="External"/><Relationship Id="rId725" Type="http://schemas.openxmlformats.org/officeDocument/2006/relationships/hyperlink" Target="https://github.com/WPMedia/arc-themes-blocks/pull/1347" TargetMode="External"/><Relationship Id="rId967" Type="http://schemas.openxmlformats.org/officeDocument/2006/relationships/hyperlink" Target="https://github.com/cultureamp/kaizen-design-system/pull/3051" TargetMode="External"/><Relationship Id="rId724" Type="http://schemas.openxmlformats.org/officeDocument/2006/relationships/hyperlink" Target="https://github.com/hackworthltd/primer-app/pull/112" TargetMode="External"/><Relationship Id="rId966" Type="http://schemas.openxmlformats.org/officeDocument/2006/relationships/hyperlink" Target="https://github.com/nodejs/nodejs.org/pull/7754" TargetMode="External"/><Relationship Id="rId69" Type="http://schemas.openxmlformats.org/officeDocument/2006/relationships/hyperlink" Target="https://github.com/storybookjs/storybook/pull/22336" TargetMode="External"/><Relationship Id="rId961" Type="http://schemas.openxmlformats.org/officeDocument/2006/relationships/hyperlink" Target="https://github.com/chanzuckerberg/edu-design-system/pull/1346" TargetMode="External"/><Relationship Id="rId960" Type="http://schemas.openxmlformats.org/officeDocument/2006/relationships/hyperlink" Target="https://github.com/nodejs/nodejs.org/pull/7638" TargetMode="External"/><Relationship Id="rId51" Type="http://schemas.openxmlformats.org/officeDocument/2006/relationships/hyperlink" Target="https://github.com/contentful/forma-36/pull/2430" TargetMode="External"/><Relationship Id="rId50" Type="http://schemas.openxmlformats.org/officeDocument/2006/relationships/hyperlink" Target="https://github.com/contentful/forma-36/pull/2430" TargetMode="External"/><Relationship Id="rId53" Type="http://schemas.openxmlformats.org/officeDocument/2006/relationships/hyperlink" Target="https://github.com/sbb-design-systems/lyne-components/pull/1691" TargetMode="External"/><Relationship Id="rId52" Type="http://schemas.openxmlformats.org/officeDocument/2006/relationships/hyperlink" Target="https://github.com/ithaka/pharos/pull/570" TargetMode="External"/><Relationship Id="rId55" Type="http://schemas.openxmlformats.org/officeDocument/2006/relationships/hyperlink" Target="https://github.com/homebound-team/beam/pull/900" TargetMode="External"/><Relationship Id="rId54" Type="http://schemas.openxmlformats.org/officeDocument/2006/relationships/hyperlink" Target="https://github.com/sbb-design-systems/lyne-components/pull/1691" TargetMode="External"/><Relationship Id="rId57" Type="http://schemas.openxmlformats.org/officeDocument/2006/relationships/hyperlink" Target="https://github.com/livechat/design-system/pull/518" TargetMode="External"/><Relationship Id="rId56" Type="http://schemas.openxmlformats.org/officeDocument/2006/relationships/hyperlink" Target="https://github.com/livechat/design-system/pull/518" TargetMode="External"/><Relationship Id="rId719" Type="http://schemas.openxmlformats.org/officeDocument/2006/relationships/hyperlink" Target="https://github.com/metmuseum/marble/pull/185" TargetMode="External"/><Relationship Id="rId718" Type="http://schemas.openxmlformats.org/officeDocument/2006/relationships/hyperlink" Target="https://github.com/proeco/proeco-client/pull/147" TargetMode="External"/><Relationship Id="rId717" Type="http://schemas.openxmlformats.org/officeDocument/2006/relationships/hyperlink" Target="https://github.com/curology/radiance-ui/pull/1470" TargetMode="External"/><Relationship Id="rId959" Type="http://schemas.openxmlformats.org/officeDocument/2006/relationships/hyperlink" Target="https://github.com/guardian/source/pull/1307" TargetMode="External"/><Relationship Id="rId712" Type="http://schemas.openxmlformats.org/officeDocument/2006/relationships/hyperlink" Target="https://github.com/storybookjs/storybook/pull/16178" TargetMode="External"/><Relationship Id="rId954" Type="http://schemas.openxmlformats.org/officeDocument/2006/relationships/hyperlink" Target="https://github.com/nl-design-system/denhaag/pull/1709" TargetMode="External"/><Relationship Id="rId711" Type="http://schemas.openxmlformats.org/officeDocument/2006/relationships/hyperlink" Target="https://github.com/chanzuckerberg/edu-design-system/pull/921" TargetMode="External"/><Relationship Id="rId953" Type="http://schemas.openxmlformats.org/officeDocument/2006/relationships/hyperlink" Target="https://github.com/Workday/canvas-kit/pull/1426" TargetMode="External"/><Relationship Id="rId710" Type="http://schemas.openxmlformats.org/officeDocument/2006/relationships/hyperlink" Target="https://github.com/chanzuckerberg/edu-design-system/pull/921" TargetMode="External"/><Relationship Id="rId952" Type="http://schemas.openxmlformats.org/officeDocument/2006/relationships/hyperlink" Target="https://github.com/storybookjs/storybook/pull/19181" TargetMode="External"/><Relationship Id="rId951" Type="http://schemas.openxmlformats.org/officeDocument/2006/relationships/hyperlink" Target="https://github.com/ory/elements/pull/371" TargetMode="External"/><Relationship Id="rId716" Type="http://schemas.openxmlformats.org/officeDocument/2006/relationships/hyperlink" Target="https://github.com/curology/radiance-ui/pull/1470" TargetMode="External"/><Relationship Id="rId958" Type="http://schemas.openxmlformats.org/officeDocument/2006/relationships/hyperlink" Target="https://github.com/chanzuckerberg/edu-design-system/pull/1322" TargetMode="External"/><Relationship Id="rId715" Type="http://schemas.openxmlformats.org/officeDocument/2006/relationships/hyperlink" Target="https://github.com/BBC-archive/psammead/pull/4548" TargetMode="External"/><Relationship Id="rId957" Type="http://schemas.openxmlformats.org/officeDocument/2006/relationships/hyperlink" Target="https://github.com/adobe/spectrum-css/pull/3593" TargetMode="External"/><Relationship Id="rId714" Type="http://schemas.openxmlformats.org/officeDocument/2006/relationships/hyperlink" Target="https://github.com/lena1687/react-game-project/pull/1" TargetMode="External"/><Relationship Id="rId956" Type="http://schemas.openxmlformats.org/officeDocument/2006/relationships/hyperlink" Target="https://github.com/storybookjs/storybook/pull/17756" TargetMode="External"/><Relationship Id="rId713" Type="http://schemas.openxmlformats.org/officeDocument/2006/relationships/hyperlink" Target="https://github.com/lena1687/react-game-project/pull/1" TargetMode="External"/><Relationship Id="rId955" Type="http://schemas.openxmlformats.org/officeDocument/2006/relationships/hyperlink" Target="https://github.com/chanzuckerberg/edu-design-system/pull/1322" TargetMode="External"/><Relationship Id="rId59" Type="http://schemas.openxmlformats.org/officeDocument/2006/relationships/hyperlink" Target="https://github.com/coder/coder/pull/7210" TargetMode="External"/><Relationship Id="rId58" Type="http://schemas.openxmlformats.org/officeDocument/2006/relationships/hyperlink" Target="https://github.com/backstage/backstage/pull/21482" TargetMode="External"/><Relationship Id="rId950" Type="http://schemas.openxmlformats.org/officeDocument/2006/relationships/hyperlink" Target="https://github.com/ni/nimble/pull/260" TargetMode="External"/><Relationship Id="rId590" Type="http://schemas.openxmlformats.org/officeDocument/2006/relationships/hyperlink" Target="https://github.com/WPMedia/arc-themes-blocks/pull/1019" TargetMode="External"/><Relationship Id="rId107" Type="http://schemas.openxmlformats.org/officeDocument/2006/relationships/hyperlink" Target="https://github.com/isomerpages/isomercms-frontend/pull/1398" TargetMode="External"/><Relationship Id="rId349" Type="http://schemas.openxmlformats.org/officeDocument/2006/relationships/hyperlink" Target="https://github.com/navikt/aksel/pull/2795" TargetMode="External"/><Relationship Id="rId106" Type="http://schemas.openxmlformats.org/officeDocument/2006/relationships/hyperlink" Target="https://github.com/guardian/dotcom-rendering/pull/7128" TargetMode="External"/><Relationship Id="rId348" Type="http://schemas.openxmlformats.org/officeDocument/2006/relationships/hyperlink" Target="https://github.com/Esri/calcite-design-system/pull/9912" TargetMode="External"/><Relationship Id="rId105" Type="http://schemas.openxmlformats.org/officeDocument/2006/relationships/hyperlink" Target="https://github.com/contentful/forma-36/pull/2520" TargetMode="External"/><Relationship Id="rId347" Type="http://schemas.openxmlformats.org/officeDocument/2006/relationships/hyperlink" Target="https://github.com/Esri/calcite-design-system/pull/9912" TargetMode="External"/><Relationship Id="rId589" Type="http://schemas.openxmlformats.org/officeDocument/2006/relationships/hyperlink" Target="https://github.com/cultureamp/kaizen-design-system/pull/1053" TargetMode="External"/><Relationship Id="rId104" Type="http://schemas.openxmlformats.org/officeDocument/2006/relationships/hyperlink" Target="https://github.com/contentful/forma-36/pull/2520" TargetMode="External"/><Relationship Id="rId346" Type="http://schemas.openxmlformats.org/officeDocument/2006/relationships/hyperlink" Target="https://github.com/danskernesdigitalebibliotek/dpl-design-system/pull/542" TargetMode="External"/><Relationship Id="rId588" Type="http://schemas.openxmlformats.org/officeDocument/2006/relationships/hyperlink" Target="https://github.com/WPMedia/arc-themes-blocks/pull/1019" TargetMode="External"/><Relationship Id="rId109" Type="http://schemas.openxmlformats.org/officeDocument/2006/relationships/hyperlink" Target="https://github.com/ithaka/pharos/pull/503" TargetMode="External"/><Relationship Id="rId108" Type="http://schemas.openxmlformats.org/officeDocument/2006/relationships/hyperlink" Target="https://github.com/isomerpages/isomercms-frontend/pull/1398" TargetMode="External"/><Relationship Id="rId341" Type="http://schemas.openxmlformats.org/officeDocument/2006/relationships/hyperlink" Target="https://github.com/ni/nimble/pull/2189" TargetMode="External"/><Relationship Id="rId583" Type="http://schemas.openxmlformats.org/officeDocument/2006/relationships/hyperlink" Target="https://github.com/contentful/forma-36/pull/757" TargetMode="External"/><Relationship Id="rId340" Type="http://schemas.openxmlformats.org/officeDocument/2006/relationships/hyperlink" Target="https://github.com/ethereum/ethereum-org-website/pull/12594" TargetMode="External"/><Relationship Id="rId582" Type="http://schemas.openxmlformats.org/officeDocument/2006/relationships/hyperlink" Target="https://github.com/sberdevices/plasma/pull/676" TargetMode="External"/><Relationship Id="rId581" Type="http://schemas.openxmlformats.org/officeDocument/2006/relationships/hyperlink" Target="https://github.com/sberdevices/plasma/pull/676" TargetMode="External"/><Relationship Id="rId580" Type="http://schemas.openxmlformats.org/officeDocument/2006/relationships/hyperlink" Target="https://github.com/contentful/forma-36/pull/757" TargetMode="External"/><Relationship Id="rId103" Type="http://schemas.openxmlformats.org/officeDocument/2006/relationships/hyperlink" Target="https://github.com/guardian/dotcom-rendering/pull/7128" TargetMode="External"/><Relationship Id="rId345" Type="http://schemas.openxmlformats.org/officeDocument/2006/relationships/hyperlink" Target="https://github.com/storybookjs/storybook/pull/28739" TargetMode="External"/><Relationship Id="rId587" Type="http://schemas.openxmlformats.org/officeDocument/2006/relationships/hyperlink" Target="https://github.com/WPMedia/arc-themes-blocks/pull/1019" TargetMode="External"/><Relationship Id="rId102" Type="http://schemas.openxmlformats.org/officeDocument/2006/relationships/hyperlink" Target="https://github.com/chromaui/addon-visual-tests/pull/22" TargetMode="External"/><Relationship Id="rId344" Type="http://schemas.openxmlformats.org/officeDocument/2006/relationships/hyperlink" Target="https://github.com/storybookjs/storybook/pull/28739" TargetMode="External"/><Relationship Id="rId586" Type="http://schemas.openxmlformats.org/officeDocument/2006/relationships/hyperlink" Target="https://github.com/getappmap/appmap-js/pull/32" TargetMode="External"/><Relationship Id="rId101" Type="http://schemas.openxmlformats.org/officeDocument/2006/relationships/hyperlink" Target="https://github.com/chromaui/addon-visual-tests/pull/22" TargetMode="External"/><Relationship Id="rId343" Type="http://schemas.openxmlformats.org/officeDocument/2006/relationships/hyperlink" Target="https://github.com/kufu/smarthr-ui/pull/4479" TargetMode="External"/><Relationship Id="rId585" Type="http://schemas.openxmlformats.org/officeDocument/2006/relationships/hyperlink" Target="https://github.com/sberdevices/plasma/pull/676" TargetMode="External"/><Relationship Id="rId100" Type="http://schemas.openxmlformats.org/officeDocument/2006/relationships/hyperlink" Target="https://github.com/guardian/dotcom-rendering/pull/7128" TargetMode="External"/><Relationship Id="rId342" Type="http://schemas.openxmlformats.org/officeDocument/2006/relationships/hyperlink" Target="https://github.com/ni/nimble/pull/2189" TargetMode="External"/><Relationship Id="rId584" Type="http://schemas.openxmlformats.org/officeDocument/2006/relationships/hyperlink" Target="https://github.com/sberdevices/plasma/pull/676" TargetMode="External"/><Relationship Id="rId338" Type="http://schemas.openxmlformats.org/officeDocument/2006/relationships/hyperlink" Target="https://github.com/jpmorganchase/salt-ds/pull/3551" TargetMode="External"/><Relationship Id="rId337" Type="http://schemas.openxmlformats.org/officeDocument/2006/relationships/hyperlink" Target="https://github.com/department-of-veterans-affairs/component-library/pull/1096" TargetMode="External"/><Relationship Id="rId579" Type="http://schemas.openxmlformats.org/officeDocument/2006/relationships/hyperlink" Target="https://github.com/WPMedia/arc-themes-blocks/pull/1044" TargetMode="External"/><Relationship Id="rId336" Type="http://schemas.openxmlformats.org/officeDocument/2006/relationships/hyperlink" Target="https://github.com/Sage/carbon/pull/6795" TargetMode="External"/><Relationship Id="rId578" Type="http://schemas.openxmlformats.org/officeDocument/2006/relationships/hyperlink" Target="https://github.com/WPMedia/arc-themes-blocks/pull/1044" TargetMode="External"/><Relationship Id="rId335" Type="http://schemas.openxmlformats.org/officeDocument/2006/relationships/hyperlink" Target="https://github.com/Sage/carbon/pull/6795" TargetMode="External"/><Relationship Id="rId577" Type="http://schemas.openxmlformats.org/officeDocument/2006/relationships/hyperlink" Target="https://github.com/storybookjs/storybook/pull/13685" TargetMode="External"/><Relationship Id="rId339" Type="http://schemas.openxmlformats.org/officeDocument/2006/relationships/hyperlink" Target="https://github.com/jpmorganchase/salt-ds/pull/3551" TargetMode="External"/><Relationship Id="rId330" Type="http://schemas.openxmlformats.org/officeDocument/2006/relationships/hyperlink" Target="https://github.com/ni/nimble/pull/2167" TargetMode="External"/><Relationship Id="rId572" Type="http://schemas.openxmlformats.org/officeDocument/2006/relationships/hyperlink" Target="https://github.com/contentful/forma-36/pull/1093" TargetMode="External"/><Relationship Id="rId571" Type="http://schemas.openxmlformats.org/officeDocument/2006/relationships/hyperlink" Target="https://github.com/curology/radiance-ui/pull/642" TargetMode="External"/><Relationship Id="rId570" Type="http://schemas.openxmlformats.org/officeDocument/2006/relationships/hyperlink" Target="https://github.com/storybookjs/storybook/pull/15556" TargetMode="External"/><Relationship Id="rId334" Type="http://schemas.openxmlformats.org/officeDocument/2006/relationships/hyperlink" Target="https://github.com/storybookjs/storybook/pull/26254" TargetMode="External"/><Relationship Id="rId576" Type="http://schemas.openxmlformats.org/officeDocument/2006/relationships/hyperlink" Target="https://github.com/gravitee-io/gravitee-ui-components/pull/401" TargetMode="External"/><Relationship Id="rId333" Type="http://schemas.openxmlformats.org/officeDocument/2006/relationships/hyperlink" Target="https://github.com/ni/nimble/pull/2167" TargetMode="External"/><Relationship Id="rId575" Type="http://schemas.openxmlformats.org/officeDocument/2006/relationships/hyperlink" Target="https://github.com/gravitee-io/gravitee-ui-components/pull/401" TargetMode="External"/><Relationship Id="rId332" Type="http://schemas.openxmlformats.org/officeDocument/2006/relationships/hyperlink" Target="https://github.com/ni/nimble/pull/2167" TargetMode="External"/><Relationship Id="rId574" Type="http://schemas.openxmlformats.org/officeDocument/2006/relationships/hyperlink" Target="https://github.com/getappmap/appmap-js/pull/57" TargetMode="External"/><Relationship Id="rId331" Type="http://schemas.openxmlformats.org/officeDocument/2006/relationships/hyperlink" Target="https://github.com/kufu/smarthr-ui/pull/4302" TargetMode="External"/><Relationship Id="rId573" Type="http://schemas.openxmlformats.org/officeDocument/2006/relationships/hyperlink" Target="https://github.com/contentful/forma-36/pull/1093" TargetMode="External"/><Relationship Id="rId370" Type="http://schemas.openxmlformats.org/officeDocument/2006/relationships/hyperlink" Target="https://github.com/ethereum/ethereum-org-website/pull/12639" TargetMode="External"/><Relationship Id="rId129" Type="http://schemas.openxmlformats.org/officeDocument/2006/relationships/hyperlink" Target="https://github.com/solid-design-system/solid/pull/318" TargetMode="External"/><Relationship Id="rId128" Type="http://schemas.openxmlformats.org/officeDocument/2006/relationships/hyperlink" Target="https://github.com/solid-design-system/solid/pull/318" TargetMode="External"/><Relationship Id="rId127" Type="http://schemas.openxmlformats.org/officeDocument/2006/relationships/hyperlink" Target="https://github.com/contentful/forma-36/pull/2436" TargetMode="External"/><Relationship Id="rId369" Type="http://schemas.openxmlformats.org/officeDocument/2006/relationships/hyperlink" Target="https://github.com/adobe/react-spectrum/pull/6965" TargetMode="External"/><Relationship Id="rId126" Type="http://schemas.openxmlformats.org/officeDocument/2006/relationships/hyperlink" Target="https://github.com/NeurodataWithoutBorders/nwb-guide/pull/305" TargetMode="External"/><Relationship Id="rId368" Type="http://schemas.openxmlformats.org/officeDocument/2006/relationships/hyperlink" Target="https://github.com/adobe/react-spectrum/pull/6965" TargetMode="External"/><Relationship Id="rId121" Type="http://schemas.openxmlformats.org/officeDocument/2006/relationships/hyperlink" Target="https://github.com/seek-oss/braid-design-system/pull/1240" TargetMode="External"/><Relationship Id="rId363" Type="http://schemas.openxmlformats.org/officeDocument/2006/relationships/hyperlink" Target="https://github.com/sillsdev/web-xforge/pull/2557" TargetMode="External"/><Relationship Id="rId120" Type="http://schemas.openxmlformats.org/officeDocument/2006/relationships/hyperlink" Target="https://github.com/Esri/calcite-design-system/pull/7568" TargetMode="External"/><Relationship Id="rId362" Type="http://schemas.openxmlformats.org/officeDocument/2006/relationships/hyperlink" Target="https://github.com/sillsdev/web-xforge/pull/2557" TargetMode="External"/><Relationship Id="rId361" Type="http://schemas.openxmlformats.org/officeDocument/2006/relationships/hyperlink" Target="https://github.com/guardian/dotcom-rendering/pull/10864" TargetMode="External"/><Relationship Id="rId360" Type="http://schemas.openxmlformats.org/officeDocument/2006/relationships/hyperlink" Target="https://github.com/adobe/spectrum-css/pull/2929" TargetMode="External"/><Relationship Id="rId125" Type="http://schemas.openxmlformats.org/officeDocument/2006/relationships/hyperlink" Target="https://github.com/NeurodataWithoutBorders/nwb-guide/pull/305" TargetMode="External"/><Relationship Id="rId367" Type="http://schemas.openxmlformats.org/officeDocument/2006/relationships/hyperlink" Target="https://github.com/ethereum/ethereum-org-website/pull/12639" TargetMode="External"/><Relationship Id="rId124" Type="http://schemas.openxmlformats.org/officeDocument/2006/relationships/hyperlink" Target="https://github.com/contentful/forma-36/pull/2436" TargetMode="External"/><Relationship Id="rId366" Type="http://schemas.openxmlformats.org/officeDocument/2006/relationships/hyperlink" Target="https://github.com/Esri/calcite-design-system/pull/9969" TargetMode="External"/><Relationship Id="rId123" Type="http://schemas.openxmlformats.org/officeDocument/2006/relationships/hyperlink" Target="https://github.com/epicmaxco/vuestic-ui/pull/3729" TargetMode="External"/><Relationship Id="rId365" Type="http://schemas.openxmlformats.org/officeDocument/2006/relationships/hyperlink" Target="https://github.com/Esri/calcite-design-system/pull/9969" TargetMode="External"/><Relationship Id="rId122" Type="http://schemas.openxmlformats.org/officeDocument/2006/relationships/hyperlink" Target="https://github.com/epicmaxco/vuestic-ui/pull/3729" TargetMode="External"/><Relationship Id="rId364" Type="http://schemas.openxmlformats.org/officeDocument/2006/relationships/hyperlink" Target="https://github.com/wellcomecollection/wellcomecollection.org/pull/10792" TargetMode="External"/><Relationship Id="rId95" Type="http://schemas.openxmlformats.org/officeDocument/2006/relationships/hyperlink" Target="https://github.com/ni/nimble/pull/1335" TargetMode="External"/><Relationship Id="rId94" Type="http://schemas.openxmlformats.org/officeDocument/2006/relationships/hyperlink" Target="https://github.com/GCTC-NTGC/gc-digital-talent/pull/5740" TargetMode="External"/><Relationship Id="rId97" Type="http://schemas.openxmlformats.org/officeDocument/2006/relationships/hyperlink" Target="https://github.com/storybookjs/storybook/pull/20995" TargetMode="External"/><Relationship Id="rId96" Type="http://schemas.openxmlformats.org/officeDocument/2006/relationships/hyperlink" Target="https://github.com/ni/nimble/pull/1335" TargetMode="External"/><Relationship Id="rId99" Type="http://schemas.openxmlformats.org/officeDocument/2006/relationships/hyperlink" Target="https://github.com/Sage-Bionetworks/synapse-web-monorepo/pull/319" TargetMode="External"/><Relationship Id="rId98" Type="http://schemas.openxmlformats.org/officeDocument/2006/relationships/hyperlink" Target="https://github.com/Sage-Bionetworks/synapse-web-monorepo/pull/319" TargetMode="External"/><Relationship Id="rId91" Type="http://schemas.openxmlformats.org/officeDocument/2006/relationships/hyperlink" Target="https://github.com/guardian/dotcom-rendering/pull/6954" TargetMode="External"/><Relationship Id="rId90" Type="http://schemas.openxmlformats.org/officeDocument/2006/relationships/hyperlink" Target="https://github.com/contentful/forma-36/pull/2498" TargetMode="External"/><Relationship Id="rId93" Type="http://schemas.openxmlformats.org/officeDocument/2006/relationships/hyperlink" Target="https://github.com/contentful/forma-36/pull/2498" TargetMode="External"/><Relationship Id="rId92" Type="http://schemas.openxmlformats.org/officeDocument/2006/relationships/hyperlink" Target="https://github.com/contentful/forma-36/pull/2498" TargetMode="External"/><Relationship Id="rId118" Type="http://schemas.openxmlformats.org/officeDocument/2006/relationships/hyperlink" Target="https://github.com/NeurodataWithoutBorders/nwb-guide/pull/74" TargetMode="External"/><Relationship Id="rId117" Type="http://schemas.openxmlformats.org/officeDocument/2006/relationships/hyperlink" Target="https://github.com/Esri/calcite-design-system/pull/7568" TargetMode="External"/><Relationship Id="rId359" Type="http://schemas.openxmlformats.org/officeDocument/2006/relationships/hyperlink" Target="https://github.com/adobe/spectrum-css/pull/2929" TargetMode="External"/><Relationship Id="rId116" Type="http://schemas.openxmlformats.org/officeDocument/2006/relationships/hyperlink" Target="https://github.com/Esri/calcite-design-system/pull/7568" TargetMode="External"/><Relationship Id="rId358" Type="http://schemas.openxmlformats.org/officeDocument/2006/relationships/hyperlink" Target="https://github.com/NeurodataWithoutBorders/nwb-guide/pull/674" TargetMode="External"/><Relationship Id="rId115" Type="http://schemas.openxmlformats.org/officeDocument/2006/relationships/hyperlink" Target="https://github.com/NeurodataWithoutBorders/nwb-guide/pull/74" TargetMode="External"/><Relationship Id="rId357" Type="http://schemas.openxmlformats.org/officeDocument/2006/relationships/hyperlink" Target="https://github.com/ni/nimble/pull/2315" TargetMode="External"/><Relationship Id="rId599" Type="http://schemas.openxmlformats.org/officeDocument/2006/relationships/hyperlink" Target="https://github.com/guardian/gateway/pull/791" TargetMode="External"/><Relationship Id="rId119" Type="http://schemas.openxmlformats.org/officeDocument/2006/relationships/hyperlink" Target="https://github.com/Esri/calcite-design-system/pull/7568" TargetMode="External"/><Relationship Id="rId110" Type="http://schemas.openxmlformats.org/officeDocument/2006/relationships/hyperlink" Target="https://github.com/isomerpages/isomercms-frontend/pull/1435" TargetMode="External"/><Relationship Id="rId352" Type="http://schemas.openxmlformats.org/officeDocument/2006/relationships/hyperlink" Target="https://github.com/Crystal-Creations-GbR/crystal-components/pull/70" TargetMode="External"/><Relationship Id="rId594" Type="http://schemas.openxmlformats.org/officeDocument/2006/relationships/hyperlink" Target="https://github.com/WPMedia/arc-themes-blocks/pull/1062" TargetMode="External"/><Relationship Id="rId351" Type="http://schemas.openxmlformats.org/officeDocument/2006/relationships/hyperlink" Target="https://github.com/recharts/recharts/pull/4795" TargetMode="External"/><Relationship Id="rId593" Type="http://schemas.openxmlformats.org/officeDocument/2006/relationships/hyperlink" Target="https://github.com/WPMedia/arc-themes-blocks/pull/1062" TargetMode="External"/><Relationship Id="rId350" Type="http://schemas.openxmlformats.org/officeDocument/2006/relationships/hyperlink" Target="https://github.com/recharts/recharts/pull/4795" TargetMode="External"/><Relationship Id="rId592" Type="http://schemas.openxmlformats.org/officeDocument/2006/relationships/hyperlink" Target="https://github.com/cultureamp/kaizen-design-system/pull/1053" TargetMode="External"/><Relationship Id="rId591" Type="http://schemas.openxmlformats.org/officeDocument/2006/relationships/hyperlink" Target="https://github.com/WPMedia/arc-themes-blocks/pull/1019" TargetMode="External"/><Relationship Id="rId114" Type="http://schemas.openxmlformats.org/officeDocument/2006/relationships/hyperlink" Target="https://github.com/isomerpages/isomercms-frontend/pull/1396" TargetMode="External"/><Relationship Id="rId356" Type="http://schemas.openxmlformats.org/officeDocument/2006/relationships/hyperlink" Target="https://github.com/ni/nimble/pull/2315" TargetMode="External"/><Relationship Id="rId598" Type="http://schemas.openxmlformats.org/officeDocument/2006/relationships/hyperlink" Target="https://github.com/cultureamp/kaizen-design-system/pull/1218" TargetMode="External"/><Relationship Id="rId113" Type="http://schemas.openxmlformats.org/officeDocument/2006/relationships/hyperlink" Target="https://github.com/isomerpages/isomercms-frontend/pull/1396" TargetMode="External"/><Relationship Id="rId355" Type="http://schemas.openxmlformats.org/officeDocument/2006/relationships/hyperlink" Target="https://github.com/chromaui/chromatic-docs/pull/400" TargetMode="External"/><Relationship Id="rId597" Type="http://schemas.openxmlformats.org/officeDocument/2006/relationships/hyperlink" Target="https://github.com/guardian/gateway/pull/791" TargetMode="External"/><Relationship Id="rId112" Type="http://schemas.openxmlformats.org/officeDocument/2006/relationships/hyperlink" Target="https://github.com/adobe/react-spectrum/pull/4243" TargetMode="External"/><Relationship Id="rId354" Type="http://schemas.openxmlformats.org/officeDocument/2006/relationships/hyperlink" Target="https://github.com/gradio-app/gradio/pull/8851" TargetMode="External"/><Relationship Id="rId596" Type="http://schemas.openxmlformats.org/officeDocument/2006/relationships/hyperlink" Target="https://github.com/guardian/gateway/pull/791" TargetMode="External"/><Relationship Id="rId111" Type="http://schemas.openxmlformats.org/officeDocument/2006/relationships/hyperlink" Target="https://github.com/isomerpages/isomercms-frontend/pull/1435" TargetMode="External"/><Relationship Id="rId353" Type="http://schemas.openxmlformats.org/officeDocument/2006/relationships/hyperlink" Target="https://github.com/gradio-app/gradio/pull/8851" TargetMode="External"/><Relationship Id="rId595" Type="http://schemas.openxmlformats.org/officeDocument/2006/relationships/hyperlink" Target="https://github.com/CruGlobal/mpdx-react/pull/25" TargetMode="External"/><Relationship Id="rId305" Type="http://schemas.openxmlformats.org/officeDocument/2006/relationships/hyperlink" Target="https://github.com/misskey-dev/misskey/pull/13830" TargetMode="External"/><Relationship Id="rId547" Type="http://schemas.openxmlformats.org/officeDocument/2006/relationships/hyperlink" Target="https://github.com/epicmaxco/vuestic-ui/pull/4451" TargetMode="External"/><Relationship Id="rId789" Type="http://schemas.openxmlformats.org/officeDocument/2006/relationships/hyperlink" Target="https://github.com/WPMedia/arc-themes-blocks/pull/1411" TargetMode="External"/><Relationship Id="rId304" Type="http://schemas.openxmlformats.org/officeDocument/2006/relationships/hyperlink" Target="https://github.com/Esri/calcite-design-system/pull/8561" TargetMode="External"/><Relationship Id="rId546" Type="http://schemas.openxmlformats.org/officeDocument/2006/relationships/hyperlink" Target="https://github.com/adobe/react-spectrum/pull/2057" TargetMode="External"/><Relationship Id="rId788" Type="http://schemas.openxmlformats.org/officeDocument/2006/relationships/hyperlink" Target="https://github.com/WPMedia/arc-themes-blocks/pull/1411" TargetMode="External"/><Relationship Id="rId303" Type="http://schemas.openxmlformats.org/officeDocument/2006/relationships/hyperlink" Target="https://github.com/kufu/smarthr-ui/pull/4626" TargetMode="External"/><Relationship Id="rId545" Type="http://schemas.openxmlformats.org/officeDocument/2006/relationships/hyperlink" Target="https://github.com/adobe/react-spectrum/pull/2057" TargetMode="External"/><Relationship Id="rId787" Type="http://schemas.openxmlformats.org/officeDocument/2006/relationships/hyperlink" Target="https://github.com/chanzuckerberg/edu-design-system/pull/893" TargetMode="External"/><Relationship Id="rId302" Type="http://schemas.openxmlformats.org/officeDocument/2006/relationships/hyperlink" Target="https://github.com/kufu/smarthr-ui/pull/4626" TargetMode="External"/><Relationship Id="rId544" Type="http://schemas.openxmlformats.org/officeDocument/2006/relationships/hyperlink" Target="https://github.com/ithaka/pharos/pull/862" TargetMode="External"/><Relationship Id="rId786" Type="http://schemas.openxmlformats.org/officeDocument/2006/relationships/hyperlink" Target="https://github.com/homebound-team/beam/pull/550" TargetMode="External"/><Relationship Id="rId309" Type="http://schemas.openxmlformats.org/officeDocument/2006/relationships/hyperlink" Target="https://github.com/cloudblue/connect-ui-toolkit/pull/92" TargetMode="External"/><Relationship Id="rId308" Type="http://schemas.openxmlformats.org/officeDocument/2006/relationships/hyperlink" Target="https://github.com/cloudblue/connect-ui-toolkit/pull/92" TargetMode="External"/><Relationship Id="rId307" Type="http://schemas.openxmlformats.org/officeDocument/2006/relationships/hyperlink" Target="https://github.com/kufu/smarthr-ui/pull/4182" TargetMode="External"/><Relationship Id="rId549" Type="http://schemas.openxmlformats.org/officeDocument/2006/relationships/hyperlink" Target="https://github.com/getappmap/appmap-js/pull/255" TargetMode="External"/><Relationship Id="rId306" Type="http://schemas.openxmlformats.org/officeDocument/2006/relationships/hyperlink" Target="https://github.com/misskey-dev/misskey/pull/13830" TargetMode="External"/><Relationship Id="rId548" Type="http://schemas.openxmlformats.org/officeDocument/2006/relationships/hyperlink" Target="https://github.com/getappmap/appmap-js/pull/255" TargetMode="External"/><Relationship Id="rId781" Type="http://schemas.openxmlformats.org/officeDocument/2006/relationships/hyperlink" Target="https://github.com/guardian/dotcom-rendering/pull/3988" TargetMode="External"/><Relationship Id="rId780" Type="http://schemas.openxmlformats.org/officeDocument/2006/relationships/hyperlink" Target="https://github.com/coder/coder/pull/2103" TargetMode="External"/><Relationship Id="rId301" Type="http://schemas.openxmlformats.org/officeDocument/2006/relationships/hyperlink" Target="https://github.com/Esri/calcite-design-system/pull/8561" TargetMode="External"/><Relationship Id="rId543" Type="http://schemas.openxmlformats.org/officeDocument/2006/relationships/hyperlink" Target="https://github.com/adobe/react-spectrum/pull/2057" TargetMode="External"/><Relationship Id="rId785" Type="http://schemas.openxmlformats.org/officeDocument/2006/relationships/hyperlink" Target="https://github.com/homebound-team/beam/pull/550" TargetMode="External"/><Relationship Id="rId300" Type="http://schemas.openxmlformats.org/officeDocument/2006/relationships/hyperlink" Target="https://github.com/appsmithorg/appsmith/pull/32857" TargetMode="External"/><Relationship Id="rId542" Type="http://schemas.openxmlformats.org/officeDocument/2006/relationships/hyperlink" Target="https://github.com/adobe/react-spectrum/pull/2057" TargetMode="External"/><Relationship Id="rId784" Type="http://schemas.openxmlformats.org/officeDocument/2006/relationships/hyperlink" Target="https://github.com/guardian/dotcom-rendering/pull/3897" TargetMode="External"/><Relationship Id="rId541" Type="http://schemas.openxmlformats.org/officeDocument/2006/relationships/hyperlink" Target="https://github.com/fortanix/baklava/pull/54" TargetMode="External"/><Relationship Id="rId783" Type="http://schemas.openxmlformats.org/officeDocument/2006/relationships/hyperlink" Target="https://github.com/ni/nimble/pull/609" TargetMode="External"/><Relationship Id="rId540" Type="http://schemas.openxmlformats.org/officeDocument/2006/relationships/hyperlink" Target="https://github.com/grommet/grommet/pull/5213" TargetMode="External"/><Relationship Id="rId782" Type="http://schemas.openxmlformats.org/officeDocument/2006/relationships/hyperlink" Target="https://github.com/ni/nimble/pull/609" TargetMode="External"/><Relationship Id="rId536" Type="http://schemas.openxmlformats.org/officeDocument/2006/relationships/hyperlink" Target="https://github.com/storybookjs/storybook/pull/14820" TargetMode="External"/><Relationship Id="rId778" Type="http://schemas.openxmlformats.org/officeDocument/2006/relationships/hyperlink" Target="https://github.com/guardian/dotcom-rendering/pull/3823" TargetMode="External"/><Relationship Id="rId535" Type="http://schemas.openxmlformats.org/officeDocument/2006/relationships/hyperlink" Target="https://github.com/Khan/wonder-blocks/pull/2363" TargetMode="External"/><Relationship Id="rId777" Type="http://schemas.openxmlformats.org/officeDocument/2006/relationships/hyperlink" Target="https://github.com/WPMedia/arc-themes-blocks/pull/1386" TargetMode="External"/><Relationship Id="rId534" Type="http://schemas.openxmlformats.org/officeDocument/2006/relationships/hyperlink" Target="https://github.com/WPMedia/arc-themes-blocks/pull/862" TargetMode="External"/><Relationship Id="rId776" Type="http://schemas.openxmlformats.org/officeDocument/2006/relationships/hyperlink" Target="https://github.com/WPMedia/arc-themes-blocks/pull/1386" TargetMode="External"/><Relationship Id="rId533" Type="http://schemas.openxmlformats.org/officeDocument/2006/relationships/hyperlink" Target="https://github.com/WPMedia/arc-themes-blocks/pull/862" TargetMode="External"/><Relationship Id="rId775" Type="http://schemas.openxmlformats.org/officeDocument/2006/relationships/hyperlink" Target="https://github.com/hackworthltd/primer-app/pull/213" TargetMode="External"/><Relationship Id="rId539" Type="http://schemas.openxmlformats.org/officeDocument/2006/relationships/hyperlink" Target="https://github.com/grommet/grommet/pull/5213" TargetMode="External"/><Relationship Id="rId538" Type="http://schemas.openxmlformats.org/officeDocument/2006/relationships/hyperlink" Target="https://github.com/fortanix/baklava/pull/54" TargetMode="External"/><Relationship Id="rId537" Type="http://schemas.openxmlformats.org/officeDocument/2006/relationships/hyperlink" Target="https://github.com/storybookjs/storybook/pull/14820" TargetMode="External"/><Relationship Id="rId779" Type="http://schemas.openxmlformats.org/officeDocument/2006/relationships/hyperlink" Target="https://github.com/coder/coder/pull/2103" TargetMode="External"/><Relationship Id="rId770" Type="http://schemas.openxmlformats.org/officeDocument/2006/relationships/hyperlink" Target="https://github.com/WPMedia/arc-themes-blocks/pull/1386" TargetMode="External"/><Relationship Id="rId532" Type="http://schemas.openxmlformats.org/officeDocument/2006/relationships/hyperlink" Target="https://github.com/sparkdotfi/spark-app/pull/404" TargetMode="External"/><Relationship Id="rId774" Type="http://schemas.openxmlformats.org/officeDocument/2006/relationships/hyperlink" Target="https://github.com/WPMedia/arc-themes-blocks/pull/1386" TargetMode="External"/><Relationship Id="rId531" Type="http://schemas.openxmlformats.org/officeDocument/2006/relationships/hyperlink" Target="https://github.com/ithaka/pharos/pull/36" TargetMode="External"/><Relationship Id="rId773" Type="http://schemas.openxmlformats.org/officeDocument/2006/relationships/hyperlink" Target="https://github.com/WPMedia/arc-themes-blocks/pull/1386" TargetMode="External"/><Relationship Id="rId530" Type="http://schemas.openxmlformats.org/officeDocument/2006/relationships/hyperlink" Target="https://github.com/ithaka/pharos/pull/36" TargetMode="External"/><Relationship Id="rId772" Type="http://schemas.openxmlformats.org/officeDocument/2006/relationships/hyperlink" Target="https://github.com/hackworthltd/primer-app/pull/213" TargetMode="External"/><Relationship Id="rId771" Type="http://schemas.openxmlformats.org/officeDocument/2006/relationships/hyperlink" Target="https://github.com/WPMedia/arc-themes-blocks/pull/1386" TargetMode="External"/><Relationship Id="rId327" Type="http://schemas.openxmlformats.org/officeDocument/2006/relationships/hyperlink" Target="https://github.com/Esri/calcite-design-system/pull/9688" TargetMode="External"/><Relationship Id="rId569" Type="http://schemas.openxmlformats.org/officeDocument/2006/relationships/hyperlink" Target="https://github.com/storybookjs/storybook/pull/15556" TargetMode="External"/><Relationship Id="rId326" Type="http://schemas.openxmlformats.org/officeDocument/2006/relationships/hyperlink" Target="https://github.com/Esri/calcite-design-system/pull/9688" TargetMode="External"/><Relationship Id="rId568" Type="http://schemas.openxmlformats.org/officeDocument/2006/relationships/hyperlink" Target="https://github.com/Sage/carbon/pull/3498" TargetMode="External"/><Relationship Id="rId325" Type="http://schemas.openxmlformats.org/officeDocument/2006/relationships/hyperlink" Target="https://github.com/department-of-veterans-affairs/component-library/pull/1073" TargetMode="External"/><Relationship Id="rId567" Type="http://schemas.openxmlformats.org/officeDocument/2006/relationships/hyperlink" Target="https://github.com/WPMedia/arc-themes-blocks/pull/1014" TargetMode="External"/><Relationship Id="rId324" Type="http://schemas.openxmlformats.org/officeDocument/2006/relationships/hyperlink" Target="https://github.com/misskey-dev/misskey/pull/13779" TargetMode="External"/><Relationship Id="rId566" Type="http://schemas.openxmlformats.org/officeDocument/2006/relationships/hyperlink" Target="https://github.com/WPMedia/arc-themes-blocks/pull/1014" TargetMode="External"/><Relationship Id="rId329" Type="http://schemas.openxmlformats.org/officeDocument/2006/relationships/hyperlink" Target="https://github.com/ni/nimble/pull/2167" TargetMode="External"/><Relationship Id="rId328" Type="http://schemas.openxmlformats.org/officeDocument/2006/relationships/hyperlink" Target="https://github.com/Esri/calcite-design-system/pull/8786" TargetMode="External"/><Relationship Id="rId561" Type="http://schemas.openxmlformats.org/officeDocument/2006/relationships/hyperlink" Target="https://github.com/ntls-io/nautilus-wallet/pull/23" TargetMode="External"/><Relationship Id="rId560" Type="http://schemas.openxmlformats.org/officeDocument/2006/relationships/hyperlink" Target="https://github.com/ntls-io/nautilus-wallet/pull/23" TargetMode="External"/><Relationship Id="rId323" Type="http://schemas.openxmlformats.org/officeDocument/2006/relationships/hyperlink" Target="https://github.com/misskey-dev/misskey/pull/13779" TargetMode="External"/><Relationship Id="rId565" Type="http://schemas.openxmlformats.org/officeDocument/2006/relationships/hyperlink" Target="https://github.com/department-of-veterans-affairs/component-library/pull/1487" TargetMode="External"/><Relationship Id="rId322" Type="http://schemas.openxmlformats.org/officeDocument/2006/relationships/hyperlink" Target="https://github.com/adobe/react-spectrum/pull/5941" TargetMode="External"/><Relationship Id="rId564" Type="http://schemas.openxmlformats.org/officeDocument/2006/relationships/hyperlink" Target="https://github.com/cultureamp/kaizen-design-system/pull/1800" TargetMode="External"/><Relationship Id="rId321" Type="http://schemas.openxmlformats.org/officeDocument/2006/relationships/hyperlink" Target="https://github.com/recharts/recharts/pull/4542" TargetMode="External"/><Relationship Id="rId563" Type="http://schemas.openxmlformats.org/officeDocument/2006/relationships/hyperlink" Target="https://github.com/cultureamp/kaizen-design-system/pull/1800" TargetMode="External"/><Relationship Id="rId320" Type="http://schemas.openxmlformats.org/officeDocument/2006/relationships/hyperlink" Target="https://github.com/recharts/recharts/pull/4542" TargetMode="External"/><Relationship Id="rId562" Type="http://schemas.openxmlformats.org/officeDocument/2006/relationships/hyperlink" Target="https://github.com/serendie/serendie/pull/28" TargetMode="External"/><Relationship Id="rId316" Type="http://schemas.openxmlformats.org/officeDocument/2006/relationships/hyperlink" Target="https://github.com/ni/nimble/pull/1791" TargetMode="External"/><Relationship Id="rId558" Type="http://schemas.openxmlformats.org/officeDocument/2006/relationships/hyperlink" Target="https://github.com/ntls-io/nautilus-wallet/pull/28" TargetMode="External"/><Relationship Id="rId315" Type="http://schemas.openxmlformats.org/officeDocument/2006/relationships/hyperlink" Target="https://github.com/danskernesdigitalebibliotek/dpl-design-system/pull/650" TargetMode="External"/><Relationship Id="rId557" Type="http://schemas.openxmlformats.org/officeDocument/2006/relationships/hyperlink" Target="https://github.com/ntls-io/nautilus-wallet/pull/28" TargetMode="External"/><Relationship Id="rId799" Type="http://schemas.openxmlformats.org/officeDocument/2006/relationships/hyperlink" Target="https://github.com/chanzuckerberg/edu-design-system/pull/921" TargetMode="External"/><Relationship Id="rId314" Type="http://schemas.openxmlformats.org/officeDocument/2006/relationships/hyperlink" Target="https://github.com/danskernesdigitalebibliotek/dpl-design-system/pull/650" TargetMode="External"/><Relationship Id="rId556" Type="http://schemas.openxmlformats.org/officeDocument/2006/relationships/hyperlink" Target="https://github.com/Esri/calcite-design-system/pull/11215" TargetMode="External"/><Relationship Id="rId798" Type="http://schemas.openxmlformats.org/officeDocument/2006/relationships/hyperlink" Target="https://github.com/WPMedia/arc-themes-components/pull/116" TargetMode="External"/><Relationship Id="rId313" Type="http://schemas.openxmlformats.org/officeDocument/2006/relationships/hyperlink" Target="https://github.com/storybookjs/storybook/pull/25460" TargetMode="External"/><Relationship Id="rId555" Type="http://schemas.openxmlformats.org/officeDocument/2006/relationships/hyperlink" Target="https://github.com/ntls-io/nautilus-wallet/pull/28" TargetMode="External"/><Relationship Id="rId797" Type="http://schemas.openxmlformats.org/officeDocument/2006/relationships/hyperlink" Target="https://github.com/WPMedia/arc-themes-components/pull/116" TargetMode="External"/><Relationship Id="rId319" Type="http://schemas.openxmlformats.org/officeDocument/2006/relationships/hyperlink" Target="https://github.com/danskernesdigitalebibliotek/dpl-design-system/pull/518" TargetMode="External"/><Relationship Id="rId318" Type="http://schemas.openxmlformats.org/officeDocument/2006/relationships/hyperlink" Target="https://github.com/danskernesdigitalebibliotek/dpl-design-system/pull/650" TargetMode="External"/><Relationship Id="rId317" Type="http://schemas.openxmlformats.org/officeDocument/2006/relationships/hyperlink" Target="https://github.com/danskernesdigitalebibliotek/dpl-design-system/pull/650" TargetMode="External"/><Relationship Id="rId559" Type="http://schemas.openxmlformats.org/officeDocument/2006/relationships/hyperlink" Target="https://github.com/Khan/wonder-blocks/pull/2441" TargetMode="External"/><Relationship Id="rId550" Type="http://schemas.openxmlformats.org/officeDocument/2006/relationships/hyperlink" Target="https://github.com/coder/coder/pull/16134" TargetMode="External"/><Relationship Id="rId792" Type="http://schemas.openxmlformats.org/officeDocument/2006/relationships/hyperlink" Target="https://github.com/WPMedia/arc-themes-blocks/pull/1411" TargetMode="External"/><Relationship Id="rId791" Type="http://schemas.openxmlformats.org/officeDocument/2006/relationships/hyperlink" Target="https://github.com/WPMedia/arc-themes-blocks/pull/1411" TargetMode="External"/><Relationship Id="rId790" Type="http://schemas.openxmlformats.org/officeDocument/2006/relationships/hyperlink" Target="https://github.com/guardian/gateway/pull/1575" TargetMode="External"/><Relationship Id="rId312" Type="http://schemas.openxmlformats.org/officeDocument/2006/relationships/hyperlink" Target="https://github.com/cloudblue/connect-ui-toolkit/pull/92" TargetMode="External"/><Relationship Id="rId554" Type="http://schemas.openxmlformats.org/officeDocument/2006/relationships/hyperlink" Target="https://github.com/ntls-io/nautilus-wallet/pull/28" TargetMode="External"/><Relationship Id="rId796" Type="http://schemas.openxmlformats.org/officeDocument/2006/relationships/hyperlink" Target="https://github.com/ntls-io/nautilus-wallet/pull/160" TargetMode="External"/><Relationship Id="rId311" Type="http://schemas.openxmlformats.org/officeDocument/2006/relationships/hyperlink" Target="https://github.com/cloudblue/connect-ui-toolkit/pull/92" TargetMode="External"/><Relationship Id="rId553" Type="http://schemas.openxmlformats.org/officeDocument/2006/relationships/hyperlink" Target="https://github.com/kufu/smarthr-ui/pull/5307" TargetMode="External"/><Relationship Id="rId795" Type="http://schemas.openxmlformats.org/officeDocument/2006/relationships/hyperlink" Target="https://github.com/WPMedia/arc-themes-blocks/pull/1411" TargetMode="External"/><Relationship Id="rId310" Type="http://schemas.openxmlformats.org/officeDocument/2006/relationships/hyperlink" Target="https://github.com/NeurodataWithoutBorders/nwb-guide/pull/555" TargetMode="External"/><Relationship Id="rId552" Type="http://schemas.openxmlformats.org/officeDocument/2006/relationships/hyperlink" Target="https://github.com/microsoft/iot-cardboard-js/pull/78" TargetMode="External"/><Relationship Id="rId794" Type="http://schemas.openxmlformats.org/officeDocument/2006/relationships/hyperlink" Target="https://github.com/WPMedia/arc-themes-blocks/pull/1411" TargetMode="External"/><Relationship Id="rId551" Type="http://schemas.openxmlformats.org/officeDocument/2006/relationships/hyperlink" Target="https://github.com/microsoft/iot-cardboard-js/pull/78" TargetMode="External"/><Relationship Id="rId793" Type="http://schemas.openxmlformats.org/officeDocument/2006/relationships/hyperlink" Target="https://github.com/ni/nimble/pull/406" TargetMode="External"/><Relationship Id="rId297" Type="http://schemas.openxmlformats.org/officeDocument/2006/relationships/hyperlink" Target="https://github.com/recharts/recharts/pull/4441" TargetMode="External"/><Relationship Id="rId296" Type="http://schemas.openxmlformats.org/officeDocument/2006/relationships/hyperlink" Target="https://github.com/recharts/recharts/pull/4441" TargetMode="External"/><Relationship Id="rId295" Type="http://schemas.openxmlformats.org/officeDocument/2006/relationships/hyperlink" Target="https://github.com/adobe/react-spectrum/pull/5705" TargetMode="External"/><Relationship Id="rId294" Type="http://schemas.openxmlformats.org/officeDocument/2006/relationships/hyperlink" Target="https://github.com/coder/coder/pull/13031" TargetMode="External"/><Relationship Id="rId299" Type="http://schemas.openxmlformats.org/officeDocument/2006/relationships/hyperlink" Target="https://github.com/appsmithorg/appsmith/pull/32857" TargetMode="External"/><Relationship Id="rId298" Type="http://schemas.openxmlformats.org/officeDocument/2006/relationships/hyperlink" Target="https://github.com/recharts/recharts/pull/4062" TargetMode="External"/><Relationship Id="rId271" Type="http://schemas.openxmlformats.org/officeDocument/2006/relationships/hyperlink" Target="https://github.com/sbb-design-systems/lyne-components/pull/2255" TargetMode="External"/><Relationship Id="rId270" Type="http://schemas.openxmlformats.org/officeDocument/2006/relationships/hyperlink" Target="https://github.com/navikt/aksel/pull/2795" TargetMode="External"/><Relationship Id="rId269" Type="http://schemas.openxmlformats.org/officeDocument/2006/relationships/hyperlink" Target="https://github.com/navikt/aksel/pull/2795" TargetMode="External"/><Relationship Id="rId264" Type="http://schemas.openxmlformats.org/officeDocument/2006/relationships/hyperlink" Target="https://github.com/kufu/smarthr-ui/pull/4479" TargetMode="External"/><Relationship Id="rId263" Type="http://schemas.openxmlformats.org/officeDocument/2006/relationships/hyperlink" Target="https://github.com/kufu/smarthr-ui/pull/4479" TargetMode="External"/><Relationship Id="rId262" Type="http://schemas.openxmlformats.org/officeDocument/2006/relationships/hyperlink" Target="https://github.com/coder/coder/pull/10857" TargetMode="External"/><Relationship Id="rId261" Type="http://schemas.openxmlformats.org/officeDocument/2006/relationships/hyperlink" Target="https://github.com/ethereum/ethereum-org-website/pull/12594" TargetMode="External"/><Relationship Id="rId268" Type="http://schemas.openxmlformats.org/officeDocument/2006/relationships/hyperlink" Target="https://github.com/daydule/frontend/pull/71" TargetMode="External"/><Relationship Id="rId267" Type="http://schemas.openxmlformats.org/officeDocument/2006/relationships/hyperlink" Target="https://github.com/danskernesdigitalebibliotek/dpl-design-system/pull/542" TargetMode="External"/><Relationship Id="rId266" Type="http://schemas.openxmlformats.org/officeDocument/2006/relationships/hyperlink" Target="https://github.com/danskernesdigitalebibliotek/dpl-design-system/pull/542" TargetMode="External"/><Relationship Id="rId265" Type="http://schemas.openxmlformats.org/officeDocument/2006/relationships/hyperlink" Target="https://github.com/GCTC-NTGC/gc-digital-talent/pull/8405" TargetMode="External"/><Relationship Id="rId260" Type="http://schemas.openxmlformats.org/officeDocument/2006/relationships/hyperlink" Target="https://github.com/ethereum/ethereum-org-website/pull/12594" TargetMode="External"/><Relationship Id="rId259" Type="http://schemas.openxmlformats.org/officeDocument/2006/relationships/hyperlink" Target="https://github.com/guardian/support-frontend/pull/5429" TargetMode="External"/><Relationship Id="rId258" Type="http://schemas.openxmlformats.org/officeDocument/2006/relationships/hyperlink" Target="https://github.com/department-of-veterans-affairs/component-library/pull/1096" TargetMode="External"/><Relationship Id="rId253" Type="http://schemas.openxmlformats.org/officeDocument/2006/relationships/hyperlink" Target="https://github.com/kufu/smarthr-ui/pull/3975" TargetMode="External"/><Relationship Id="rId495" Type="http://schemas.openxmlformats.org/officeDocument/2006/relationships/hyperlink" Target="https://github.com/contentful/forma-36/pull/757" TargetMode="External"/><Relationship Id="rId252" Type="http://schemas.openxmlformats.org/officeDocument/2006/relationships/hyperlink" Target="https://github.com/kufu/smarthr-ui/pull/4302" TargetMode="External"/><Relationship Id="rId494" Type="http://schemas.openxmlformats.org/officeDocument/2006/relationships/hyperlink" Target="https://github.com/contentful/forma-36/pull/757" TargetMode="External"/><Relationship Id="rId251" Type="http://schemas.openxmlformats.org/officeDocument/2006/relationships/hyperlink" Target="https://github.com/kufu/smarthr-ui/pull/4302" TargetMode="External"/><Relationship Id="rId493" Type="http://schemas.openxmlformats.org/officeDocument/2006/relationships/hyperlink" Target="https://github.com/gradio-app/gradio/pull/9260" TargetMode="External"/><Relationship Id="rId250" Type="http://schemas.openxmlformats.org/officeDocument/2006/relationships/hyperlink" Target="https://github.com/storybookjs/storybook/pull/24395" TargetMode="External"/><Relationship Id="rId492" Type="http://schemas.openxmlformats.org/officeDocument/2006/relationships/hyperlink" Target="https://github.com/contentful/forma-36/pull/757" TargetMode="External"/><Relationship Id="rId257" Type="http://schemas.openxmlformats.org/officeDocument/2006/relationships/hyperlink" Target="https://github.com/department-of-veterans-affairs/component-library/pull/1096" TargetMode="External"/><Relationship Id="rId499" Type="http://schemas.openxmlformats.org/officeDocument/2006/relationships/hyperlink" Target="https://github.com/guardian/dotcom-rendering/pull/12298" TargetMode="External"/><Relationship Id="rId256" Type="http://schemas.openxmlformats.org/officeDocument/2006/relationships/hyperlink" Target="https://github.com/kufu/smarthr-ui/pull/3975" TargetMode="External"/><Relationship Id="rId498" Type="http://schemas.openxmlformats.org/officeDocument/2006/relationships/hyperlink" Target="https://github.com/getappmap/appmap-js/pull/32" TargetMode="External"/><Relationship Id="rId255" Type="http://schemas.openxmlformats.org/officeDocument/2006/relationships/hyperlink" Target="https://github.com/storybookjs/storybook/pull/26254" TargetMode="External"/><Relationship Id="rId497" Type="http://schemas.openxmlformats.org/officeDocument/2006/relationships/hyperlink" Target="https://github.com/getappmap/appmap-js/pull/32" TargetMode="External"/><Relationship Id="rId254" Type="http://schemas.openxmlformats.org/officeDocument/2006/relationships/hyperlink" Target="https://github.com/storybookjs/storybook/pull/26254" TargetMode="External"/><Relationship Id="rId496" Type="http://schemas.openxmlformats.org/officeDocument/2006/relationships/hyperlink" Target="https://github.com/evidence-dev/evidence/pull/2511" TargetMode="External"/><Relationship Id="rId293" Type="http://schemas.openxmlformats.org/officeDocument/2006/relationships/hyperlink" Target="https://github.com/coder/coder/pull/13031" TargetMode="External"/><Relationship Id="rId292" Type="http://schemas.openxmlformats.org/officeDocument/2006/relationships/hyperlink" Target="https://github.com/adobe/react-spectrum/pull/5705" TargetMode="External"/><Relationship Id="rId291" Type="http://schemas.openxmlformats.org/officeDocument/2006/relationships/hyperlink" Target="https://github.com/ethereum/ethereum-org-website/pull/12639" TargetMode="External"/><Relationship Id="rId290" Type="http://schemas.openxmlformats.org/officeDocument/2006/relationships/hyperlink" Target="https://github.com/ethereum/ethereum-org-website/pull/12639" TargetMode="External"/><Relationship Id="rId286" Type="http://schemas.openxmlformats.org/officeDocument/2006/relationships/hyperlink" Target="https://github.com/adobe/react-spectrum/pull/5705" TargetMode="External"/><Relationship Id="rId285" Type="http://schemas.openxmlformats.org/officeDocument/2006/relationships/hyperlink" Target="https://github.com/wellcomecollection/wellcomecollection.org/pull/10792" TargetMode="External"/><Relationship Id="rId284" Type="http://schemas.openxmlformats.org/officeDocument/2006/relationships/hyperlink" Target="https://github.com/wellcomecollection/wellcomecollection.org/pull/10792" TargetMode="External"/><Relationship Id="rId283" Type="http://schemas.openxmlformats.org/officeDocument/2006/relationships/hyperlink" Target="https://github.com/AmazeeLabs/silverback-template/pull/132" TargetMode="External"/><Relationship Id="rId289" Type="http://schemas.openxmlformats.org/officeDocument/2006/relationships/hyperlink" Target="https://github.com/adobe/react-spectrum/pull/5705" TargetMode="External"/><Relationship Id="rId288" Type="http://schemas.openxmlformats.org/officeDocument/2006/relationships/hyperlink" Target="https://github.com/ethereum/ethereum-org-website/pull/12639" TargetMode="External"/><Relationship Id="rId287" Type="http://schemas.openxmlformats.org/officeDocument/2006/relationships/hyperlink" Target="https://github.com/ethereum/ethereum-org-website/pull/12639" TargetMode="External"/><Relationship Id="rId282" Type="http://schemas.openxmlformats.org/officeDocument/2006/relationships/hyperlink" Target="https://github.com/guardian/dotcom-rendering/pull/10864" TargetMode="External"/><Relationship Id="rId281" Type="http://schemas.openxmlformats.org/officeDocument/2006/relationships/hyperlink" Target="https://github.com/guardian/dotcom-rendering/pull/10864" TargetMode="External"/><Relationship Id="rId280" Type="http://schemas.openxmlformats.org/officeDocument/2006/relationships/hyperlink" Target="https://github.com/AmazeeLabs/silverback-template/pull/132" TargetMode="External"/><Relationship Id="rId275" Type="http://schemas.openxmlformats.org/officeDocument/2006/relationships/hyperlink" Target="https://github.com/chromaui/chromatic-docs/pull/400" TargetMode="External"/><Relationship Id="rId274" Type="http://schemas.openxmlformats.org/officeDocument/2006/relationships/hyperlink" Target="https://github.com/guardian/dotcom-rendering/pull/9792" TargetMode="External"/><Relationship Id="rId273" Type="http://schemas.openxmlformats.org/officeDocument/2006/relationships/hyperlink" Target="https://github.com/Crystal-Creations-GbR/crystal-components/pull/70" TargetMode="External"/><Relationship Id="rId272" Type="http://schemas.openxmlformats.org/officeDocument/2006/relationships/hyperlink" Target="https://github.com/Crystal-Creations-GbR/crystal-components/pull/70" TargetMode="External"/><Relationship Id="rId279" Type="http://schemas.openxmlformats.org/officeDocument/2006/relationships/hyperlink" Target="https://github.com/NeurodataWithoutBorders/nwb-guide/pull/674" TargetMode="External"/><Relationship Id="rId278" Type="http://schemas.openxmlformats.org/officeDocument/2006/relationships/hyperlink" Target="https://github.com/NeurodataWithoutBorders/nwb-guide/pull/674" TargetMode="External"/><Relationship Id="rId277" Type="http://schemas.openxmlformats.org/officeDocument/2006/relationships/hyperlink" Target="https://github.com/adobe/spectrum-css/pull/2424" TargetMode="External"/><Relationship Id="rId276" Type="http://schemas.openxmlformats.org/officeDocument/2006/relationships/hyperlink" Target="https://github.com/chromaui/chromatic-docs/pull/400" TargetMode="External"/><Relationship Id="rId907" Type="http://schemas.openxmlformats.org/officeDocument/2006/relationships/hyperlink" Target="https://github.com/bitwarden/clients/pull/3372" TargetMode="External"/><Relationship Id="rId906" Type="http://schemas.openxmlformats.org/officeDocument/2006/relationships/hyperlink" Target="https://github.com/guardian/dotcom-rendering/pull/6405" TargetMode="External"/><Relationship Id="rId905" Type="http://schemas.openxmlformats.org/officeDocument/2006/relationships/hyperlink" Target="https://github.com/guardian/dotcom-rendering/pull/6405" TargetMode="External"/><Relationship Id="rId904" Type="http://schemas.openxmlformats.org/officeDocument/2006/relationships/hyperlink" Target="https://github.com/guardian/dotcom-rendering/pull/5529" TargetMode="External"/><Relationship Id="rId909" Type="http://schemas.openxmlformats.org/officeDocument/2006/relationships/hyperlink" Target="https://github.com/wellcomecollection/wellcomecollection.org/pull/8945" TargetMode="External"/><Relationship Id="rId908" Type="http://schemas.openxmlformats.org/officeDocument/2006/relationships/hyperlink" Target="https://github.com/wellcomecollection/wellcomecollection.org/pull/8945" TargetMode="External"/><Relationship Id="rId903" Type="http://schemas.openxmlformats.org/officeDocument/2006/relationships/hyperlink" Target="https://github.com/Khan/wonder-blocks/pull/1645" TargetMode="External"/><Relationship Id="rId902" Type="http://schemas.openxmlformats.org/officeDocument/2006/relationships/hyperlink" Target="https://github.com/Khan/wonder-blocks/pull/1645" TargetMode="External"/><Relationship Id="rId901" Type="http://schemas.openxmlformats.org/officeDocument/2006/relationships/hyperlink" Target="https://github.com/cerebrl/forgerock-web-login-framework/pull/6" TargetMode="External"/><Relationship Id="rId900" Type="http://schemas.openxmlformats.org/officeDocument/2006/relationships/hyperlink" Target="https://github.com/sbb-design-systems/lyne-components/pull/1461" TargetMode="External"/><Relationship Id="rId929" Type="http://schemas.openxmlformats.org/officeDocument/2006/relationships/hyperlink" Target="https://github.com/storybookjs/storybook/pull/14528" TargetMode="External"/><Relationship Id="rId928" Type="http://schemas.openxmlformats.org/officeDocument/2006/relationships/hyperlink" Target="https://github.com/chanzuckerberg/sci-components/pull/236" TargetMode="External"/><Relationship Id="rId927" Type="http://schemas.openxmlformats.org/officeDocument/2006/relationships/hyperlink" Target="https://github.com/serendie/serendie/pull/28" TargetMode="External"/><Relationship Id="rId926" Type="http://schemas.openxmlformats.org/officeDocument/2006/relationships/hyperlink" Target="https://github.com/mswjs/msw-storybook-addon/pull/22" TargetMode="External"/><Relationship Id="rId921" Type="http://schemas.openxmlformats.org/officeDocument/2006/relationships/hyperlink" Target="https://github.com/chanzuckerberg/edu-design-system/pull/1440" TargetMode="External"/><Relationship Id="rId920" Type="http://schemas.openxmlformats.org/officeDocument/2006/relationships/hyperlink" Target="https://github.com/chanzuckerberg/edu-design-system/pull/1440" TargetMode="External"/><Relationship Id="rId925" Type="http://schemas.openxmlformats.org/officeDocument/2006/relationships/hyperlink" Target="https://github.com/razorpay/blade/pull/634" TargetMode="External"/><Relationship Id="rId924" Type="http://schemas.openxmlformats.org/officeDocument/2006/relationships/hyperlink" Target="https://github.com/chanzuckerberg/edu-design-system/pull/1440" TargetMode="External"/><Relationship Id="rId923" Type="http://schemas.openxmlformats.org/officeDocument/2006/relationships/hyperlink" Target="https://github.com/chanzuckerberg/edu-design-system/pull/1440" TargetMode="External"/><Relationship Id="rId922" Type="http://schemas.openxmlformats.org/officeDocument/2006/relationships/hyperlink" Target="https://github.com/storybookjs/storybook/pull/19029" TargetMode="External"/><Relationship Id="rId918" Type="http://schemas.openxmlformats.org/officeDocument/2006/relationships/hyperlink" Target="https://github.com/ni/nimble/pull/927" TargetMode="External"/><Relationship Id="rId917" Type="http://schemas.openxmlformats.org/officeDocument/2006/relationships/hyperlink" Target="https://github.com/ni/nimble/pull/927" TargetMode="External"/><Relationship Id="rId916" Type="http://schemas.openxmlformats.org/officeDocument/2006/relationships/hyperlink" Target="https://github.com/WPMedia/arc-themes-blocks/pull/1462" TargetMode="External"/><Relationship Id="rId915" Type="http://schemas.openxmlformats.org/officeDocument/2006/relationships/hyperlink" Target="https://github.com/storybookjs/storybook/pull/20359" TargetMode="External"/><Relationship Id="rId919" Type="http://schemas.openxmlformats.org/officeDocument/2006/relationships/hyperlink" Target="https://github.com/WPMedia/arc-themes-blocks/pull/1462" TargetMode="External"/><Relationship Id="rId910" Type="http://schemas.openxmlformats.org/officeDocument/2006/relationships/hyperlink" Target="https://github.com/WPMedia/arc-themes-blocks/pull/1481" TargetMode="External"/><Relationship Id="rId914" Type="http://schemas.openxmlformats.org/officeDocument/2006/relationships/hyperlink" Target="https://github.com/storybookjs/storybook/pull/20359" TargetMode="External"/><Relationship Id="rId913" Type="http://schemas.openxmlformats.org/officeDocument/2006/relationships/hyperlink" Target="https://github.com/WPMedia/arc-themes-blocks/pull/1481" TargetMode="External"/><Relationship Id="rId912" Type="http://schemas.openxmlformats.org/officeDocument/2006/relationships/hyperlink" Target="https://github.com/DouyinFE/semi-design/pull/1317" TargetMode="External"/><Relationship Id="rId911" Type="http://schemas.openxmlformats.org/officeDocument/2006/relationships/hyperlink" Target="https://github.com/DouyinFE/semi-design/pull/1317" TargetMode="External"/><Relationship Id="rId629" Type="http://schemas.openxmlformats.org/officeDocument/2006/relationships/hyperlink" Target="https://github.com/proeco/proeco-client/pull/147" TargetMode="External"/><Relationship Id="rId624" Type="http://schemas.openxmlformats.org/officeDocument/2006/relationships/hyperlink" Target="https://github.com/storybookjs/storybook/pull/16178" TargetMode="External"/><Relationship Id="rId866" Type="http://schemas.openxmlformats.org/officeDocument/2006/relationships/hyperlink" Target="https://github.com/chanzuckerberg/edu-design-system/pull/1346" TargetMode="External"/><Relationship Id="rId623" Type="http://schemas.openxmlformats.org/officeDocument/2006/relationships/hyperlink" Target="https://github.com/storybookjs/storybook/pull/16178" TargetMode="External"/><Relationship Id="rId865" Type="http://schemas.openxmlformats.org/officeDocument/2006/relationships/hyperlink" Target="https://github.com/WPMedia/arc-themes-blocks/pull/1386" TargetMode="External"/><Relationship Id="rId622" Type="http://schemas.openxmlformats.org/officeDocument/2006/relationships/hyperlink" Target="https://github.com/WPMedia/arc-themes-blocks/pull/862" TargetMode="External"/><Relationship Id="rId864" Type="http://schemas.openxmlformats.org/officeDocument/2006/relationships/hyperlink" Target="https://github.com/chanzuckerberg/edu-design-system/pull/1322" TargetMode="External"/><Relationship Id="rId621" Type="http://schemas.openxmlformats.org/officeDocument/2006/relationships/hyperlink" Target="https://github.com/WPMedia/arc-themes-blocks/pull/1092" TargetMode="External"/><Relationship Id="rId863" Type="http://schemas.openxmlformats.org/officeDocument/2006/relationships/hyperlink" Target="https://github.com/chanzuckerberg/edu-design-system/pull/1322" TargetMode="External"/><Relationship Id="rId628" Type="http://schemas.openxmlformats.org/officeDocument/2006/relationships/hyperlink" Target="https://github.com/grommet/grommet/pull/5213" TargetMode="External"/><Relationship Id="rId627" Type="http://schemas.openxmlformats.org/officeDocument/2006/relationships/hyperlink" Target="https://github.com/BBC-archive/psammead/pull/4548" TargetMode="External"/><Relationship Id="rId869" Type="http://schemas.openxmlformats.org/officeDocument/2006/relationships/hyperlink" Target="https://github.com/chanzuckerberg/edu-design-system/pull/1346" TargetMode="External"/><Relationship Id="rId626" Type="http://schemas.openxmlformats.org/officeDocument/2006/relationships/hyperlink" Target="https://github.com/BBC-archive/psammead/pull/4548" TargetMode="External"/><Relationship Id="rId868" Type="http://schemas.openxmlformats.org/officeDocument/2006/relationships/hyperlink" Target="https://github.com/coder/coder/pull/2103" TargetMode="External"/><Relationship Id="rId625" Type="http://schemas.openxmlformats.org/officeDocument/2006/relationships/hyperlink" Target="https://github.com/storybookjs/storybook/pull/14820" TargetMode="External"/><Relationship Id="rId867" Type="http://schemas.openxmlformats.org/officeDocument/2006/relationships/hyperlink" Target="https://github.com/chanzuckerberg/edu-design-system/pull/1346" TargetMode="External"/><Relationship Id="rId620" Type="http://schemas.openxmlformats.org/officeDocument/2006/relationships/hyperlink" Target="https://github.com/WPMedia/arc-themes-blocks/pull/1092" TargetMode="External"/><Relationship Id="rId862" Type="http://schemas.openxmlformats.org/officeDocument/2006/relationships/hyperlink" Target="https://github.com/WPMedia/arc-themes-blocks/pull/1386" TargetMode="External"/><Relationship Id="rId861" Type="http://schemas.openxmlformats.org/officeDocument/2006/relationships/hyperlink" Target="https://github.com/chanzuckerberg/edu-design-system/pull/1322" TargetMode="External"/><Relationship Id="rId860" Type="http://schemas.openxmlformats.org/officeDocument/2006/relationships/hyperlink" Target="https://github.com/chanzuckerberg/edu-design-system/pull/1322" TargetMode="External"/><Relationship Id="rId619" Type="http://schemas.openxmlformats.org/officeDocument/2006/relationships/hyperlink" Target="https://github.com/ithaka/pharos/pull/36" TargetMode="External"/><Relationship Id="rId618" Type="http://schemas.openxmlformats.org/officeDocument/2006/relationships/hyperlink" Target="https://github.com/WPMedia/arc-themes-blocks/pull/1092" TargetMode="External"/><Relationship Id="rId613" Type="http://schemas.openxmlformats.org/officeDocument/2006/relationships/hyperlink" Target="https://github.com/metmuseum/marble/pull/121" TargetMode="External"/><Relationship Id="rId855" Type="http://schemas.openxmlformats.org/officeDocument/2006/relationships/hyperlink" Target="https://github.com/storybookjs/components-marketing/pull/35" TargetMode="External"/><Relationship Id="rId612" Type="http://schemas.openxmlformats.org/officeDocument/2006/relationships/hyperlink" Target="https://github.com/eisbuk/EisBuk/pull/183" TargetMode="External"/><Relationship Id="rId854" Type="http://schemas.openxmlformats.org/officeDocument/2006/relationships/hyperlink" Target="https://github.com/storybookjs/components-marketing/pull/35" TargetMode="External"/><Relationship Id="rId611" Type="http://schemas.openxmlformats.org/officeDocument/2006/relationships/hyperlink" Target="https://github.com/eisbuk/EisBuk/pull/183" TargetMode="External"/><Relationship Id="rId853" Type="http://schemas.openxmlformats.org/officeDocument/2006/relationships/hyperlink" Target="https://github.com/guardian/dotcom-rendering/pull/5128" TargetMode="External"/><Relationship Id="rId610" Type="http://schemas.openxmlformats.org/officeDocument/2006/relationships/hyperlink" Target="https://github.com/homebound-team/beam/pull/61" TargetMode="External"/><Relationship Id="rId852" Type="http://schemas.openxmlformats.org/officeDocument/2006/relationships/hyperlink" Target="https://github.com/GCTC-NTGC/gc-digital-talent/pull/3865" TargetMode="External"/><Relationship Id="rId617" Type="http://schemas.openxmlformats.org/officeDocument/2006/relationships/hyperlink" Target="https://github.com/WPMedia/arc-themes-blocks/pull/1092" TargetMode="External"/><Relationship Id="rId859" Type="http://schemas.openxmlformats.org/officeDocument/2006/relationships/hyperlink" Target="https://github.com/WPMedia/arc-themes-blocks/pull/1386" TargetMode="External"/><Relationship Id="rId616" Type="http://schemas.openxmlformats.org/officeDocument/2006/relationships/hyperlink" Target="https://github.com/storybookjs/storybook/pull/15059" TargetMode="External"/><Relationship Id="rId858" Type="http://schemas.openxmlformats.org/officeDocument/2006/relationships/hyperlink" Target="https://github.com/storybookjs/storybook/pull/19181" TargetMode="External"/><Relationship Id="rId615" Type="http://schemas.openxmlformats.org/officeDocument/2006/relationships/hyperlink" Target="https://github.com/eisbuk/EisBuk/pull/183" TargetMode="External"/><Relationship Id="rId857" Type="http://schemas.openxmlformats.org/officeDocument/2006/relationships/hyperlink" Target="https://github.com/storybookjs/storybook/pull/19181" TargetMode="External"/><Relationship Id="rId614" Type="http://schemas.openxmlformats.org/officeDocument/2006/relationships/hyperlink" Target="https://github.com/eisbuk/EisBuk/pull/183" TargetMode="External"/><Relationship Id="rId856" Type="http://schemas.openxmlformats.org/officeDocument/2006/relationships/hyperlink" Target="https://github.com/WPMedia/arc-themes-blocks/pull/1373" TargetMode="External"/><Relationship Id="rId851" Type="http://schemas.openxmlformats.org/officeDocument/2006/relationships/hyperlink" Target="https://github.com/GCTC-NTGC/gc-digital-talent/pull/3865" TargetMode="External"/><Relationship Id="rId850" Type="http://schemas.openxmlformats.org/officeDocument/2006/relationships/hyperlink" Target="https://github.com/GCTC-NTGC/gc-digital-talent/pull/2728" TargetMode="External"/><Relationship Id="rId409" Type="http://schemas.openxmlformats.org/officeDocument/2006/relationships/hyperlink" Target="https://github.com/ni/nimble/pull/2167" TargetMode="External"/><Relationship Id="rId404" Type="http://schemas.openxmlformats.org/officeDocument/2006/relationships/hyperlink" Target="https://github.com/chromaui/chromatic-e2e/pull/203" TargetMode="External"/><Relationship Id="rId646" Type="http://schemas.openxmlformats.org/officeDocument/2006/relationships/hyperlink" Target="https://github.com/ntls-io/nautilus-wallet/pull/28" TargetMode="External"/><Relationship Id="rId888" Type="http://schemas.openxmlformats.org/officeDocument/2006/relationships/hyperlink" Target="https://github.com/iterative/vscode-dvc/pull/2850" TargetMode="External"/><Relationship Id="rId403" Type="http://schemas.openxmlformats.org/officeDocument/2006/relationships/hyperlink" Target="https://github.com/misskey-dev/misskey/pull/13779" TargetMode="External"/><Relationship Id="rId645" Type="http://schemas.openxmlformats.org/officeDocument/2006/relationships/hyperlink" Target="https://github.com/guardian/dotcom-rendering/pull/3645" TargetMode="External"/><Relationship Id="rId887" Type="http://schemas.openxmlformats.org/officeDocument/2006/relationships/hyperlink" Target="https://github.com/iterative/vscode-dvc/pull/2850" TargetMode="External"/><Relationship Id="rId402" Type="http://schemas.openxmlformats.org/officeDocument/2006/relationships/hyperlink" Target="https://github.com/Esri/calcite-design-system/pull/10343" TargetMode="External"/><Relationship Id="rId644" Type="http://schemas.openxmlformats.org/officeDocument/2006/relationships/hyperlink" Target="https://github.com/guardian/dotcom-rendering/pull/3645" TargetMode="External"/><Relationship Id="rId886" Type="http://schemas.openxmlformats.org/officeDocument/2006/relationships/hyperlink" Target="https://github.com/WPMedia/arc-themes-components/pull/116" TargetMode="External"/><Relationship Id="rId401" Type="http://schemas.openxmlformats.org/officeDocument/2006/relationships/hyperlink" Target="https://github.com/Esri/calcite-design-system/pull/10343" TargetMode="External"/><Relationship Id="rId643" Type="http://schemas.openxmlformats.org/officeDocument/2006/relationships/hyperlink" Target="https://github.com/ntls-io/nautilus-wallet/pull/28" TargetMode="External"/><Relationship Id="rId885" Type="http://schemas.openxmlformats.org/officeDocument/2006/relationships/hyperlink" Target="https://github.com/Trendyol/baklava/pull/327" TargetMode="External"/><Relationship Id="rId408" Type="http://schemas.openxmlformats.org/officeDocument/2006/relationships/hyperlink" Target="https://github.com/nl-design-system/rijkshuisstijl-community/pull/620" TargetMode="External"/><Relationship Id="rId407" Type="http://schemas.openxmlformats.org/officeDocument/2006/relationships/hyperlink" Target="https://github.com/nl-design-system/rijkshuisstijl-community/pull/620" TargetMode="External"/><Relationship Id="rId649" Type="http://schemas.openxmlformats.org/officeDocument/2006/relationships/hyperlink" Target="https://github.com/ntls-io/nautilus-wallet/pull/23" TargetMode="External"/><Relationship Id="rId406" Type="http://schemas.openxmlformats.org/officeDocument/2006/relationships/hyperlink" Target="https://github.com/Esri/calcite-design-system/pull/9688" TargetMode="External"/><Relationship Id="rId648" Type="http://schemas.openxmlformats.org/officeDocument/2006/relationships/hyperlink" Target="https://github.com/cultureamp/kaizen-design-system/pull/2300" TargetMode="External"/><Relationship Id="rId405" Type="http://schemas.openxmlformats.org/officeDocument/2006/relationships/hyperlink" Target="https://github.com/chromaui/chromatic-e2e/pull/203" TargetMode="External"/><Relationship Id="rId647" Type="http://schemas.openxmlformats.org/officeDocument/2006/relationships/hyperlink" Target="https://github.com/cultureamp/kaizen-design-system/pull/2300" TargetMode="External"/><Relationship Id="rId889" Type="http://schemas.openxmlformats.org/officeDocument/2006/relationships/hyperlink" Target="https://github.com/WPMedia/arc-themes-components/pull/116" TargetMode="External"/><Relationship Id="rId880" Type="http://schemas.openxmlformats.org/officeDocument/2006/relationships/hyperlink" Target="https://github.com/WPMedia/arc-themes-blocks/pull/1411" TargetMode="External"/><Relationship Id="rId400" Type="http://schemas.openxmlformats.org/officeDocument/2006/relationships/hyperlink" Target="https://github.com/recharts/recharts/pull/4542" TargetMode="External"/><Relationship Id="rId642" Type="http://schemas.openxmlformats.org/officeDocument/2006/relationships/hyperlink" Target="https://github.com/guardian/dotcom-rendering/pull/3645" TargetMode="External"/><Relationship Id="rId884" Type="http://schemas.openxmlformats.org/officeDocument/2006/relationships/hyperlink" Target="https://github.com/Trendyol/baklava/pull/327" TargetMode="External"/><Relationship Id="rId641" Type="http://schemas.openxmlformats.org/officeDocument/2006/relationships/hyperlink" Target="https://github.com/guardian/dotcom-rendering/pull/3645" TargetMode="External"/><Relationship Id="rId883" Type="http://schemas.openxmlformats.org/officeDocument/2006/relationships/hyperlink" Target="https://github.com/WPMedia/arc-themes-blocks/pull/1411" TargetMode="External"/><Relationship Id="rId640" Type="http://schemas.openxmlformats.org/officeDocument/2006/relationships/hyperlink" Target="https://github.com/microsoft/iot-cardboard-js/pull/78" TargetMode="External"/><Relationship Id="rId882" Type="http://schemas.openxmlformats.org/officeDocument/2006/relationships/hyperlink" Target="https://github.com/guardian/dotcom-rendering/pull/6235" TargetMode="External"/><Relationship Id="rId881" Type="http://schemas.openxmlformats.org/officeDocument/2006/relationships/hyperlink" Target="https://github.com/guardian/dotcom-rendering/pull/6235" TargetMode="External"/><Relationship Id="rId635" Type="http://schemas.openxmlformats.org/officeDocument/2006/relationships/hyperlink" Target="https://github.com/hackworthltd/primer-app/pull/112" TargetMode="External"/><Relationship Id="rId877" Type="http://schemas.openxmlformats.org/officeDocument/2006/relationships/hyperlink" Target="https://github.com/WPMedia/arc-themes-blocks/pull/1411" TargetMode="External"/><Relationship Id="rId634" Type="http://schemas.openxmlformats.org/officeDocument/2006/relationships/hyperlink" Target="https://github.com/adobe/react-spectrum/pull/2057" TargetMode="External"/><Relationship Id="rId876" Type="http://schemas.openxmlformats.org/officeDocument/2006/relationships/hyperlink" Target="https://github.com/coder/coder/pull/4810" TargetMode="External"/><Relationship Id="rId633" Type="http://schemas.openxmlformats.org/officeDocument/2006/relationships/hyperlink" Target="https://github.com/guardian/dotcom-rendering/pull/3519" TargetMode="External"/><Relationship Id="rId875" Type="http://schemas.openxmlformats.org/officeDocument/2006/relationships/hyperlink" Target="https://github.com/coder/coder/pull/4810" TargetMode="External"/><Relationship Id="rId632" Type="http://schemas.openxmlformats.org/officeDocument/2006/relationships/hyperlink" Target="https://github.com/guardian/dotcom-rendering/pull/3519" TargetMode="External"/><Relationship Id="rId874" Type="http://schemas.openxmlformats.org/officeDocument/2006/relationships/hyperlink" Target="https://github.com/homebound-team/beam/pull/550" TargetMode="External"/><Relationship Id="rId639" Type="http://schemas.openxmlformats.org/officeDocument/2006/relationships/hyperlink" Target="https://github.com/ntls-io/nautilus-wallet/pull/136" TargetMode="External"/><Relationship Id="rId638" Type="http://schemas.openxmlformats.org/officeDocument/2006/relationships/hyperlink" Target="https://github.com/ntls-io/nautilus-wallet/pull/136" TargetMode="External"/><Relationship Id="rId637" Type="http://schemas.openxmlformats.org/officeDocument/2006/relationships/hyperlink" Target="https://github.com/getappmap/appmap-js/pull/255" TargetMode="External"/><Relationship Id="rId879" Type="http://schemas.openxmlformats.org/officeDocument/2006/relationships/hyperlink" Target="https://github.com/guardian/dotcom-rendering/pull/6258" TargetMode="External"/><Relationship Id="rId636" Type="http://schemas.openxmlformats.org/officeDocument/2006/relationships/hyperlink" Target="https://github.com/hackworthltd/primer-app/pull/112" TargetMode="External"/><Relationship Id="rId878" Type="http://schemas.openxmlformats.org/officeDocument/2006/relationships/hyperlink" Target="https://github.com/guardian/dotcom-rendering/pull/6258" TargetMode="External"/><Relationship Id="rId631" Type="http://schemas.openxmlformats.org/officeDocument/2006/relationships/hyperlink" Target="https://github.com/adobe/react-spectrum/pull/2057" TargetMode="External"/><Relationship Id="rId873" Type="http://schemas.openxmlformats.org/officeDocument/2006/relationships/hyperlink" Target="https://github.com/cultureamp/kaizen-design-system/pull/3051" TargetMode="External"/><Relationship Id="rId630" Type="http://schemas.openxmlformats.org/officeDocument/2006/relationships/hyperlink" Target="https://github.com/proeco/proeco-client/pull/147" TargetMode="External"/><Relationship Id="rId872" Type="http://schemas.openxmlformats.org/officeDocument/2006/relationships/hyperlink" Target="https://github.com/cultureamp/kaizen-design-system/pull/3051" TargetMode="External"/><Relationship Id="rId871" Type="http://schemas.openxmlformats.org/officeDocument/2006/relationships/hyperlink" Target="https://github.com/ni/nimble/pull/609" TargetMode="External"/><Relationship Id="rId870" Type="http://schemas.openxmlformats.org/officeDocument/2006/relationships/hyperlink" Target="https://github.com/chanzuckerberg/edu-design-system/pull/1346" TargetMode="External"/><Relationship Id="rId829" Type="http://schemas.openxmlformats.org/officeDocument/2006/relationships/hyperlink" Target="https://github.com/contentful/forma-36/pull/2057" TargetMode="External"/><Relationship Id="rId828" Type="http://schemas.openxmlformats.org/officeDocument/2006/relationships/hyperlink" Target="https://github.com/WPMedia/arc-themes-blocks/pull/1462" TargetMode="External"/><Relationship Id="rId827" Type="http://schemas.openxmlformats.org/officeDocument/2006/relationships/hyperlink" Target="https://github.com/WPMedia/arc-themes-blocks/pull/1462" TargetMode="External"/><Relationship Id="rId822" Type="http://schemas.openxmlformats.org/officeDocument/2006/relationships/hyperlink" Target="https://github.com/WPMedia/arc-themes-blocks/pull/1481" TargetMode="External"/><Relationship Id="rId821" Type="http://schemas.openxmlformats.org/officeDocument/2006/relationships/hyperlink" Target="https://github.com/WPMedia/arc-themes-blocks/pull/1481" TargetMode="External"/><Relationship Id="rId820" Type="http://schemas.openxmlformats.org/officeDocument/2006/relationships/hyperlink" Target="https://github.com/WPMedia/arc-themes-blocks/pull/1345" TargetMode="External"/><Relationship Id="rId826" Type="http://schemas.openxmlformats.org/officeDocument/2006/relationships/hyperlink" Target="https://github.com/WPMedia/arc-themes-blocks/pull/1335" TargetMode="External"/><Relationship Id="rId825" Type="http://schemas.openxmlformats.org/officeDocument/2006/relationships/hyperlink" Target="https://github.com/WPMedia/arc-themes-blocks/pull/1481" TargetMode="External"/><Relationship Id="rId824" Type="http://schemas.openxmlformats.org/officeDocument/2006/relationships/hyperlink" Target="https://github.com/WPMedia/arc-themes-blocks/pull/1481" TargetMode="External"/><Relationship Id="rId823" Type="http://schemas.openxmlformats.org/officeDocument/2006/relationships/hyperlink" Target="https://github.com/WPMedia/arc-themes-blocks/pull/1332" TargetMode="External"/><Relationship Id="rId819" Type="http://schemas.openxmlformats.org/officeDocument/2006/relationships/hyperlink" Target="https://github.com/bitwarden/clients/pull/3372" TargetMode="External"/><Relationship Id="rId818" Type="http://schemas.openxmlformats.org/officeDocument/2006/relationships/hyperlink" Target="https://github.com/bitwarden/clients/pull/3372" TargetMode="External"/><Relationship Id="rId817" Type="http://schemas.openxmlformats.org/officeDocument/2006/relationships/hyperlink" Target="https://github.com/WPMedia/arc-themes-blocks/pull/1345" TargetMode="External"/><Relationship Id="rId816" Type="http://schemas.openxmlformats.org/officeDocument/2006/relationships/hyperlink" Target="https://github.com/guardian/dotcom-rendering/pull/5529" TargetMode="External"/><Relationship Id="rId811" Type="http://schemas.openxmlformats.org/officeDocument/2006/relationships/hyperlink" Target="https://github.com/coder/coder/pull/981" TargetMode="External"/><Relationship Id="rId810" Type="http://schemas.openxmlformats.org/officeDocument/2006/relationships/hyperlink" Target="https://github.com/WPMedia/arc-themes-components/pull/121" TargetMode="External"/><Relationship Id="rId815" Type="http://schemas.openxmlformats.org/officeDocument/2006/relationships/hyperlink" Target="https://github.com/guardian/dotcom-rendering/pull/5529" TargetMode="External"/><Relationship Id="rId814" Type="http://schemas.openxmlformats.org/officeDocument/2006/relationships/hyperlink" Target="https://github.com/WPMedia/arc-themes-blocks/pull/1347" TargetMode="External"/><Relationship Id="rId813" Type="http://schemas.openxmlformats.org/officeDocument/2006/relationships/hyperlink" Target="https://github.com/cerebrl/forgerock-web-login-framework/pull/6" TargetMode="External"/><Relationship Id="rId812" Type="http://schemas.openxmlformats.org/officeDocument/2006/relationships/hyperlink" Target="https://github.com/cerebrl/forgerock-web-login-framework/pull/6" TargetMode="External"/><Relationship Id="rId609" Type="http://schemas.openxmlformats.org/officeDocument/2006/relationships/hyperlink" Target="https://github.com/PostHog/posthog/pull/5736" TargetMode="External"/><Relationship Id="rId608" Type="http://schemas.openxmlformats.org/officeDocument/2006/relationships/hyperlink" Target="https://github.com/PostHog/posthog/pull/5736" TargetMode="External"/><Relationship Id="rId607" Type="http://schemas.openxmlformats.org/officeDocument/2006/relationships/hyperlink" Target="https://github.com/storybookjs/storybook/pull/14172" TargetMode="External"/><Relationship Id="rId849" Type="http://schemas.openxmlformats.org/officeDocument/2006/relationships/hyperlink" Target="https://github.com/dpc-sdp/ripple-framework/pull/224" TargetMode="External"/><Relationship Id="rId602" Type="http://schemas.openxmlformats.org/officeDocument/2006/relationships/hyperlink" Target="https://github.com/guardian/gateway/pull/791" TargetMode="External"/><Relationship Id="rId844" Type="http://schemas.openxmlformats.org/officeDocument/2006/relationships/hyperlink" Target="https://github.com/GCTC-NTGC/gc-digital-talent/pull/2728" TargetMode="External"/><Relationship Id="rId601" Type="http://schemas.openxmlformats.org/officeDocument/2006/relationships/hyperlink" Target="https://github.com/storybookjs/storybook/pull/14251" TargetMode="External"/><Relationship Id="rId843" Type="http://schemas.openxmlformats.org/officeDocument/2006/relationships/hyperlink" Target="https://github.com/launchdarkly/launchpad-ui/pull/351" TargetMode="External"/><Relationship Id="rId600" Type="http://schemas.openxmlformats.org/officeDocument/2006/relationships/hyperlink" Target="https://github.com/guardian/gateway/pull/791" TargetMode="External"/><Relationship Id="rId842" Type="http://schemas.openxmlformats.org/officeDocument/2006/relationships/hyperlink" Target="https://github.com/launchdarkly/launchpad-ui/pull/351" TargetMode="External"/><Relationship Id="rId841" Type="http://schemas.openxmlformats.org/officeDocument/2006/relationships/hyperlink" Target="https://github.com/chanzuckerberg/edu-design-system/pull/1083" TargetMode="External"/><Relationship Id="rId606" Type="http://schemas.openxmlformats.org/officeDocument/2006/relationships/hyperlink" Target="https://github.com/guardian/gateway/pull/791" TargetMode="External"/><Relationship Id="rId848" Type="http://schemas.openxmlformats.org/officeDocument/2006/relationships/hyperlink" Target="https://github.com/dpc-sdp/ripple-framework/pull/224" TargetMode="External"/><Relationship Id="rId605" Type="http://schemas.openxmlformats.org/officeDocument/2006/relationships/hyperlink" Target="https://github.com/guardian/gateway/pull/791" TargetMode="External"/><Relationship Id="rId847" Type="http://schemas.openxmlformats.org/officeDocument/2006/relationships/hyperlink" Target="https://github.com/GCTC-NTGC/gc-digital-talent/pull/2728" TargetMode="External"/><Relationship Id="rId604" Type="http://schemas.openxmlformats.org/officeDocument/2006/relationships/hyperlink" Target="https://github.com/storybookjs/storybook/pull/14251" TargetMode="External"/><Relationship Id="rId846" Type="http://schemas.openxmlformats.org/officeDocument/2006/relationships/hyperlink" Target="https://github.com/storybookjs/storybook/pull/19189" TargetMode="External"/><Relationship Id="rId603" Type="http://schemas.openxmlformats.org/officeDocument/2006/relationships/hyperlink" Target="https://github.com/guardian/gateway/pull/791" TargetMode="External"/><Relationship Id="rId845" Type="http://schemas.openxmlformats.org/officeDocument/2006/relationships/hyperlink" Target="https://github.com/storybookjs/storybook/pull/19189" TargetMode="External"/><Relationship Id="rId840" Type="http://schemas.openxmlformats.org/officeDocument/2006/relationships/hyperlink" Target="https://github.com/chanzuckerberg/sci-components/pull/236" TargetMode="External"/><Relationship Id="rId839" Type="http://schemas.openxmlformats.org/officeDocument/2006/relationships/hyperlink" Target="https://github.com/chanzuckerberg/sci-components/pull/236" TargetMode="External"/><Relationship Id="rId838" Type="http://schemas.openxmlformats.org/officeDocument/2006/relationships/hyperlink" Target="https://github.com/WPMedia/arc-themes-blocks/pull/1365" TargetMode="External"/><Relationship Id="rId833" Type="http://schemas.openxmlformats.org/officeDocument/2006/relationships/hyperlink" Target="https://github.com/storybookjs/storybook/pull/19029" TargetMode="External"/><Relationship Id="rId832" Type="http://schemas.openxmlformats.org/officeDocument/2006/relationships/hyperlink" Target="https://github.com/adobe/react-spectrum/pull/3132" TargetMode="External"/><Relationship Id="rId831" Type="http://schemas.openxmlformats.org/officeDocument/2006/relationships/hyperlink" Target="https://github.com/WPMedia/arc-themes-blocks/pull/1462" TargetMode="External"/><Relationship Id="rId830" Type="http://schemas.openxmlformats.org/officeDocument/2006/relationships/hyperlink" Target="https://github.com/WPMedia/arc-themes-blocks/pull/1462" TargetMode="External"/><Relationship Id="rId837" Type="http://schemas.openxmlformats.org/officeDocument/2006/relationships/hyperlink" Target="https://github.com/razorpay/blade/pull/634" TargetMode="External"/><Relationship Id="rId836" Type="http://schemas.openxmlformats.org/officeDocument/2006/relationships/hyperlink" Target="https://github.com/razorpay/blade/pull/634" TargetMode="External"/><Relationship Id="rId835" Type="http://schemas.openxmlformats.org/officeDocument/2006/relationships/hyperlink" Target="https://github.com/coder/coder/pull/1574" TargetMode="External"/><Relationship Id="rId834" Type="http://schemas.openxmlformats.org/officeDocument/2006/relationships/hyperlink" Target="https://github.com/storybookjs/storybook/pull/19029" TargetMode="External"/><Relationship Id="rId228" Type="http://schemas.openxmlformats.org/officeDocument/2006/relationships/hyperlink" Target="https://github.com/kufu/smarthr-ui/pull/4182" TargetMode="External"/><Relationship Id="rId227" Type="http://schemas.openxmlformats.org/officeDocument/2006/relationships/hyperlink" Target="https://github.com/kufu/smarthr-ui/pull/4182" TargetMode="External"/><Relationship Id="rId469" Type="http://schemas.openxmlformats.org/officeDocument/2006/relationships/hyperlink" Target="https://github.com/sl-design-system/components/pull/1454" TargetMode="External"/><Relationship Id="rId226" Type="http://schemas.openxmlformats.org/officeDocument/2006/relationships/hyperlink" Target="https://github.com/storybookjs/storybook/pull/24146" TargetMode="External"/><Relationship Id="rId468" Type="http://schemas.openxmlformats.org/officeDocument/2006/relationships/hyperlink" Target="https://github.com/Esri/calcite-design-system/pull/11215" TargetMode="External"/><Relationship Id="rId225" Type="http://schemas.openxmlformats.org/officeDocument/2006/relationships/hyperlink" Target="https://github.com/Esri/calcite-design-system/pull/8561" TargetMode="External"/><Relationship Id="rId467" Type="http://schemas.openxmlformats.org/officeDocument/2006/relationships/hyperlink" Target="https://github.com/Esri/calcite-design-system/pull/11215" TargetMode="External"/><Relationship Id="rId229" Type="http://schemas.openxmlformats.org/officeDocument/2006/relationships/hyperlink" Target="https://github.com/bitwarden/clients/pull/6225" TargetMode="External"/><Relationship Id="rId220" Type="http://schemas.openxmlformats.org/officeDocument/2006/relationships/hyperlink" Target="https://github.com/guardian/dotcom-rendering/pull/8633" TargetMode="External"/><Relationship Id="rId462" Type="http://schemas.openxmlformats.org/officeDocument/2006/relationships/hyperlink" Target="https://github.com/coder/coder/pull/16134" TargetMode="External"/><Relationship Id="rId461" Type="http://schemas.openxmlformats.org/officeDocument/2006/relationships/hyperlink" Target="https://github.com/coder/coder/pull/16134" TargetMode="External"/><Relationship Id="rId460" Type="http://schemas.openxmlformats.org/officeDocument/2006/relationships/hyperlink" Target="https://github.com/kufu/smarthr-ui/pull/4821" TargetMode="External"/><Relationship Id="rId224" Type="http://schemas.openxmlformats.org/officeDocument/2006/relationships/hyperlink" Target="https://github.com/Esri/calcite-design-system/pull/8561" TargetMode="External"/><Relationship Id="rId466" Type="http://schemas.openxmlformats.org/officeDocument/2006/relationships/hyperlink" Target="https://github.com/evidence-dev/evidence/pull/2436" TargetMode="External"/><Relationship Id="rId223" Type="http://schemas.openxmlformats.org/officeDocument/2006/relationships/hyperlink" Target="https://github.com/chromaui/addon-visual-tests/pull/69" TargetMode="External"/><Relationship Id="rId465" Type="http://schemas.openxmlformats.org/officeDocument/2006/relationships/hyperlink" Target="https://github.com/kufu/smarthr-ui/pull/5307" TargetMode="External"/><Relationship Id="rId222" Type="http://schemas.openxmlformats.org/officeDocument/2006/relationships/hyperlink" Target="https://github.com/Esri/calcite-design-system/pull/8561" TargetMode="External"/><Relationship Id="rId464" Type="http://schemas.openxmlformats.org/officeDocument/2006/relationships/hyperlink" Target="https://github.com/kufu/smarthr-ui/pull/5307" TargetMode="External"/><Relationship Id="rId221" Type="http://schemas.openxmlformats.org/officeDocument/2006/relationships/hyperlink" Target="https://github.com/Esri/calcite-design-system/pull/8561" TargetMode="External"/><Relationship Id="rId463" Type="http://schemas.openxmlformats.org/officeDocument/2006/relationships/hyperlink" Target="https://github.com/navikt/aksel/pull/3081" TargetMode="External"/><Relationship Id="rId217" Type="http://schemas.openxmlformats.org/officeDocument/2006/relationships/hyperlink" Target="https://github.com/adobe/react-spectrum/pull/4972" TargetMode="External"/><Relationship Id="rId459" Type="http://schemas.openxmlformats.org/officeDocument/2006/relationships/hyperlink" Target="https://github.com/epicmaxco/vuestic-ui/pull/4451" TargetMode="External"/><Relationship Id="rId216" Type="http://schemas.openxmlformats.org/officeDocument/2006/relationships/hyperlink" Target="https://github.com/adobe/react-spectrum/pull/5705" TargetMode="External"/><Relationship Id="rId458" Type="http://schemas.openxmlformats.org/officeDocument/2006/relationships/hyperlink" Target="https://github.com/epicmaxco/vuestic-ui/pull/4451" TargetMode="External"/><Relationship Id="rId215" Type="http://schemas.openxmlformats.org/officeDocument/2006/relationships/hyperlink" Target="https://github.com/adobe/react-spectrum/pull/5705" TargetMode="External"/><Relationship Id="rId457" Type="http://schemas.openxmlformats.org/officeDocument/2006/relationships/hyperlink" Target="https://github.com/evidence-dev/evidence/pull/2317" TargetMode="External"/><Relationship Id="rId699" Type="http://schemas.openxmlformats.org/officeDocument/2006/relationships/hyperlink" Target="https://github.com/chanzuckerberg/edu-design-system/pull/893" TargetMode="External"/><Relationship Id="rId214" Type="http://schemas.openxmlformats.org/officeDocument/2006/relationships/hyperlink" Target="https://github.com/guardian/dotcom-rendering/pull/8478" TargetMode="External"/><Relationship Id="rId456" Type="http://schemas.openxmlformats.org/officeDocument/2006/relationships/hyperlink" Target="https://github.com/ithaka/pharos/pull/862" TargetMode="External"/><Relationship Id="rId698" Type="http://schemas.openxmlformats.org/officeDocument/2006/relationships/hyperlink" Target="https://github.com/chanzuckerberg/edu-design-system/pull/893" TargetMode="External"/><Relationship Id="rId219" Type="http://schemas.openxmlformats.org/officeDocument/2006/relationships/hyperlink" Target="https://github.com/recharts/recharts/pull/4062" TargetMode="External"/><Relationship Id="rId218" Type="http://schemas.openxmlformats.org/officeDocument/2006/relationships/hyperlink" Target="https://github.com/recharts/recharts/pull/4062" TargetMode="External"/><Relationship Id="rId451" Type="http://schemas.openxmlformats.org/officeDocument/2006/relationships/hyperlink" Target="https://github.com/adobe/react-spectrum/pull/6965" TargetMode="External"/><Relationship Id="rId693" Type="http://schemas.openxmlformats.org/officeDocument/2006/relationships/hyperlink" Target="https://github.com/guardian/dotcom-rendering/pull/3988" TargetMode="External"/><Relationship Id="rId450" Type="http://schemas.openxmlformats.org/officeDocument/2006/relationships/hyperlink" Target="https://github.com/fortanix/baklava/pull/54" TargetMode="External"/><Relationship Id="rId692" Type="http://schemas.openxmlformats.org/officeDocument/2006/relationships/hyperlink" Target="https://github.com/guardian/dotcom-rendering/pull/3988" TargetMode="External"/><Relationship Id="rId691" Type="http://schemas.openxmlformats.org/officeDocument/2006/relationships/hyperlink" Target="https://github.com/guardian/gateway/pull/791" TargetMode="External"/><Relationship Id="rId690" Type="http://schemas.openxmlformats.org/officeDocument/2006/relationships/hyperlink" Target="https://github.com/guardian/dotcom-rendering/pull/3823" TargetMode="External"/><Relationship Id="rId213" Type="http://schemas.openxmlformats.org/officeDocument/2006/relationships/hyperlink" Target="https://github.com/adobe/react-spectrum/pull/5705" TargetMode="External"/><Relationship Id="rId455" Type="http://schemas.openxmlformats.org/officeDocument/2006/relationships/hyperlink" Target="https://github.com/ithaka/pharos/pull/862" TargetMode="External"/><Relationship Id="rId697" Type="http://schemas.openxmlformats.org/officeDocument/2006/relationships/hyperlink" Target="https://github.com/PostHog/posthog/pull/5736" TargetMode="External"/><Relationship Id="rId212" Type="http://schemas.openxmlformats.org/officeDocument/2006/relationships/hyperlink" Target="https://github.com/adobe/react-spectrum/pull/5705" TargetMode="External"/><Relationship Id="rId454" Type="http://schemas.openxmlformats.org/officeDocument/2006/relationships/hyperlink" Target="https://github.com/DouyinFE/semi-design/pull/2431" TargetMode="External"/><Relationship Id="rId696" Type="http://schemas.openxmlformats.org/officeDocument/2006/relationships/hyperlink" Target="https://github.com/guardian/dotcom-rendering/pull/3897" TargetMode="External"/><Relationship Id="rId211" Type="http://schemas.openxmlformats.org/officeDocument/2006/relationships/hyperlink" Target="https://github.com/guardian/dotcom-rendering/pull/8478" TargetMode="External"/><Relationship Id="rId453" Type="http://schemas.openxmlformats.org/officeDocument/2006/relationships/hyperlink" Target="https://github.com/fortanix/baklava/pull/54" TargetMode="External"/><Relationship Id="rId695" Type="http://schemas.openxmlformats.org/officeDocument/2006/relationships/hyperlink" Target="https://github.com/guardian/dotcom-rendering/pull/3897" TargetMode="External"/><Relationship Id="rId210" Type="http://schemas.openxmlformats.org/officeDocument/2006/relationships/hyperlink" Target="https://github.com/adobe/react-spectrum/pull/5705" TargetMode="External"/><Relationship Id="rId452" Type="http://schemas.openxmlformats.org/officeDocument/2006/relationships/hyperlink" Target="https://github.com/fortanix/baklava/pull/54" TargetMode="External"/><Relationship Id="rId694" Type="http://schemas.openxmlformats.org/officeDocument/2006/relationships/hyperlink" Target="https://github.com/guardian/gateway/pull/791" TargetMode="External"/><Relationship Id="rId491" Type="http://schemas.openxmlformats.org/officeDocument/2006/relationships/hyperlink" Target="https://github.com/contentful/forma-36/pull/757" TargetMode="External"/><Relationship Id="rId490" Type="http://schemas.openxmlformats.org/officeDocument/2006/relationships/hyperlink" Target="https://github.com/nl-design-system/rijkshuisstijl-community/pull/620" TargetMode="External"/><Relationship Id="rId249" Type="http://schemas.openxmlformats.org/officeDocument/2006/relationships/hyperlink" Target="https://github.com/Esri/calcite-design-system/pull/8786" TargetMode="External"/><Relationship Id="rId248" Type="http://schemas.openxmlformats.org/officeDocument/2006/relationships/hyperlink" Target="https://github.com/Esri/calcite-design-system/pull/8786" TargetMode="External"/><Relationship Id="rId247" Type="http://schemas.openxmlformats.org/officeDocument/2006/relationships/hyperlink" Target="https://github.com/navikt/aksel/pull/2395" TargetMode="External"/><Relationship Id="rId489" Type="http://schemas.openxmlformats.org/officeDocument/2006/relationships/hyperlink" Target="https://github.com/storybookjs/storybook/pull/13685" TargetMode="External"/><Relationship Id="rId242" Type="http://schemas.openxmlformats.org/officeDocument/2006/relationships/hyperlink" Target="https://github.com/adobe/react-spectrum/pull/5941" TargetMode="External"/><Relationship Id="rId484" Type="http://schemas.openxmlformats.org/officeDocument/2006/relationships/hyperlink" Target="https://github.com/Esri/calcite-design-system/pull/10343" TargetMode="External"/><Relationship Id="rId241" Type="http://schemas.openxmlformats.org/officeDocument/2006/relationships/hyperlink" Target="https://github.com/recharts/recharts/pull/3908" TargetMode="External"/><Relationship Id="rId483" Type="http://schemas.openxmlformats.org/officeDocument/2006/relationships/hyperlink" Target="https://github.com/curology/radiance-ui/pull/642" TargetMode="External"/><Relationship Id="rId240" Type="http://schemas.openxmlformats.org/officeDocument/2006/relationships/hyperlink" Target="https://github.com/danskernesdigitalebibliotek/dpl-design-system/pull/518" TargetMode="External"/><Relationship Id="rId482" Type="http://schemas.openxmlformats.org/officeDocument/2006/relationships/hyperlink" Target="https://github.com/curology/radiance-ui/pull/642" TargetMode="External"/><Relationship Id="rId481" Type="http://schemas.openxmlformats.org/officeDocument/2006/relationships/hyperlink" Target="https://github.com/chromaui/chromatic-e2e/pull/207" TargetMode="External"/><Relationship Id="rId246" Type="http://schemas.openxmlformats.org/officeDocument/2006/relationships/hyperlink" Target="https://github.com/department-of-veterans-affairs/component-library/pull/1073" TargetMode="External"/><Relationship Id="rId488" Type="http://schemas.openxmlformats.org/officeDocument/2006/relationships/hyperlink" Target="https://github.com/storybookjs/storybook/pull/13685" TargetMode="External"/><Relationship Id="rId245" Type="http://schemas.openxmlformats.org/officeDocument/2006/relationships/hyperlink" Target="https://github.com/department-of-veterans-affairs/component-library/pull/1073" TargetMode="External"/><Relationship Id="rId487" Type="http://schemas.openxmlformats.org/officeDocument/2006/relationships/hyperlink" Target="https://github.com/chromaui/chromatic-e2e/pull/203" TargetMode="External"/><Relationship Id="rId244" Type="http://schemas.openxmlformats.org/officeDocument/2006/relationships/hyperlink" Target="https://github.com/Esri/calcite-design-system/pull/8066" TargetMode="External"/><Relationship Id="rId486" Type="http://schemas.openxmlformats.org/officeDocument/2006/relationships/hyperlink" Target="https://github.com/getappmap/appmap-js/pull/57" TargetMode="External"/><Relationship Id="rId243" Type="http://schemas.openxmlformats.org/officeDocument/2006/relationships/hyperlink" Target="https://github.com/adobe/react-spectrum/pull/5941" TargetMode="External"/><Relationship Id="rId485" Type="http://schemas.openxmlformats.org/officeDocument/2006/relationships/hyperlink" Target="https://github.com/getappmap/appmap-js/pull/57" TargetMode="External"/><Relationship Id="rId480" Type="http://schemas.openxmlformats.org/officeDocument/2006/relationships/hyperlink" Target="https://github.com/Sage/carbon/pull/3498" TargetMode="External"/><Relationship Id="rId239" Type="http://schemas.openxmlformats.org/officeDocument/2006/relationships/hyperlink" Target="https://github.com/danskernesdigitalebibliotek/dpl-design-system/pull/518" TargetMode="External"/><Relationship Id="rId238" Type="http://schemas.openxmlformats.org/officeDocument/2006/relationships/hyperlink" Target="https://github.com/recharts/recharts/pull/3908" TargetMode="External"/><Relationship Id="rId237" Type="http://schemas.openxmlformats.org/officeDocument/2006/relationships/hyperlink" Target="https://github.com/ni/nimble/pull/1791" TargetMode="External"/><Relationship Id="rId479" Type="http://schemas.openxmlformats.org/officeDocument/2006/relationships/hyperlink" Target="https://github.com/Sage/carbon/pull/3498" TargetMode="External"/><Relationship Id="rId236" Type="http://schemas.openxmlformats.org/officeDocument/2006/relationships/hyperlink" Target="https://github.com/ni/nimble/pull/1791" TargetMode="External"/><Relationship Id="rId478" Type="http://schemas.openxmlformats.org/officeDocument/2006/relationships/hyperlink" Target="https://github.com/chromaui/chromatic-e2e/pull/207" TargetMode="External"/><Relationship Id="rId231" Type="http://schemas.openxmlformats.org/officeDocument/2006/relationships/hyperlink" Target="https://github.com/NeurodataWithoutBorders/nwb-guide/pull/555" TargetMode="External"/><Relationship Id="rId473" Type="http://schemas.openxmlformats.org/officeDocument/2006/relationships/hyperlink" Target="https://github.com/serendie/serendie/pull/28" TargetMode="External"/><Relationship Id="rId230" Type="http://schemas.openxmlformats.org/officeDocument/2006/relationships/hyperlink" Target="https://github.com/NeurodataWithoutBorders/nwb-guide/pull/555" TargetMode="External"/><Relationship Id="rId472" Type="http://schemas.openxmlformats.org/officeDocument/2006/relationships/hyperlink" Target="https://github.com/Khan/wonder-blocks/pull/2309" TargetMode="External"/><Relationship Id="rId471" Type="http://schemas.openxmlformats.org/officeDocument/2006/relationships/hyperlink" Target="https://github.com/Khan/wonder-blocks/pull/2441" TargetMode="External"/><Relationship Id="rId470" Type="http://schemas.openxmlformats.org/officeDocument/2006/relationships/hyperlink" Target="https://github.com/Khan/wonder-blocks/pull/2441" TargetMode="External"/><Relationship Id="rId235" Type="http://schemas.openxmlformats.org/officeDocument/2006/relationships/hyperlink" Target="https://github.com/Esri/calcite-design-system/pull/8055" TargetMode="External"/><Relationship Id="rId477" Type="http://schemas.openxmlformats.org/officeDocument/2006/relationships/hyperlink" Target="https://github.com/department-of-veterans-affairs/component-library/pull/1487" TargetMode="External"/><Relationship Id="rId234" Type="http://schemas.openxmlformats.org/officeDocument/2006/relationships/hyperlink" Target="https://github.com/storybookjs/storybook/pull/25460" TargetMode="External"/><Relationship Id="rId476" Type="http://schemas.openxmlformats.org/officeDocument/2006/relationships/hyperlink" Target="https://github.com/department-of-veterans-affairs/component-library/pull/1487" TargetMode="External"/><Relationship Id="rId233" Type="http://schemas.openxmlformats.org/officeDocument/2006/relationships/hyperlink" Target="https://github.com/storybookjs/storybook/pull/25460" TargetMode="External"/><Relationship Id="rId475" Type="http://schemas.openxmlformats.org/officeDocument/2006/relationships/hyperlink" Target="https://github.com/guardian/dotcom-rendering/pull/12062" TargetMode="External"/><Relationship Id="rId232" Type="http://schemas.openxmlformats.org/officeDocument/2006/relationships/hyperlink" Target="https://github.com/isomerpages/isomercms-frontend/pull/1620" TargetMode="External"/><Relationship Id="rId474" Type="http://schemas.openxmlformats.org/officeDocument/2006/relationships/hyperlink" Target="https://github.com/serendie/serendie/pull/28" TargetMode="External"/><Relationship Id="rId1015" Type="http://schemas.openxmlformats.org/officeDocument/2006/relationships/hyperlink" Target="https://github.com/coder/coder/pull/19753" TargetMode="External"/><Relationship Id="rId1016" Type="http://schemas.openxmlformats.org/officeDocument/2006/relationships/hyperlink" Target="https://github.com/adobe/react-spectrum/pull/8893" TargetMode="External"/><Relationship Id="rId1017" Type="http://schemas.openxmlformats.org/officeDocument/2006/relationships/hyperlink" Target="https://github.com/opengovsg/isomer/pull/1585" TargetMode="External"/><Relationship Id="rId1018" Type="http://schemas.openxmlformats.org/officeDocument/2006/relationships/hyperlink" Target="https://github.com/Khan/wonder-blocks/pull/2786" TargetMode="External"/><Relationship Id="rId1019" Type="http://schemas.openxmlformats.org/officeDocument/2006/relationships/hyperlink" Target="https://github.com/Khan/wonder-blocks/pull/2786" TargetMode="External"/><Relationship Id="rId426" Type="http://schemas.openxmlformats.org/officeDocument/2006/relationships/hyperlink" Target="https://github.com/Esri/calcite-design-system/pull/10621" TargetMode="External"/><Relationship Id="rId668" Type="http://schemas.openxmlformats.org/officeDocument/2006/relationships/hyperlink" Target="https://github.com/homebound-team/beam/pull/409" TargetMode="External"/><Relationship Id="rId425" Type="http://schemas.openxmlformats.org/officeDocument/2006/relationships/hyperlink" Target="https://github.com/Esri/calcite-design-system/pull/10621" TargetMode="External"/><Relationship Id="rId667" Type="http://schemas.openxmlformats.org/officeDocument/2006/relationships/hyperlink" Target="https://github.com/WPMedia/arc-themes-blocks/pull/1044" TargetMode="External"/><Relationship Id="rId424" Type="http://schemas.openxmlformats.org/officeDocument/2006/relationships/hyperlink" Target="https://github.com/ni/nimble/pull/2189" TargetMode="External"/><Relationship Id="rId666" Type="http://schemas.openxmlformats.org/officeDocument/2006/relationships/hyperlink" Target="https://github.com/homebound-team/beam/pull/409" TargetMode="External"/><Relationship Id="rId423" Type="http://schemas.openxmlformats.org/officeDocument/2006/relationships/hyperlink" Target="https://github.com/adobe/react-spectrum/pull/7284" TargetMode="External"/><Relationship Id="rId665" Type="http://schemas.openxmlformats.org/officeDocument/2006/relationships/hyperlink" Target="https://github.com/homebound-team/beam/pull/409" TargetMode="External"/><Relationship Id="rId429" Type="http://schemas.openxmlformats.org/officeDocument/2006/relationships/hyperlink" Target="https://github.com/VOICEVOX/voicevox/pull/2287" TargetMode="External"/><Relationship Id="rId428" Type="http://schemas.openxmlformats.org/officeDocument/2006/relationships/hyperlink" Target="https://github.com/VOICEVOX/voicevox/pull/2287" TargetMode="External"/><Relationship Id="rId427" Type="http://schemas.openxmlformats.org/officeDocument/2006/relationships/hyperlink" Target="https://github.com/storybookjs/storybook/pull/28739" TargetMode="External"/><Relationship Id="rId669" Type="http://schemas.openxmlformats.org/officeDocument/2006/relationships/hyperlink" Target="https://github.com/homebound-team/beam/pull/409" TargetMode="External"/><Relationship Id="rId660" Type="http://schemas.openxmlformats.org/officeDocument/2006/relationships/hyperlink" Target="https://github.com/titicacadev/triple-frontend/pull/1754" TargetMode="External"/><Relationship Id="rId1010" Type="http://schemas.openxmlformats.org/officeDocument/2006/relationships/hyperlink" Target="https://github.com/ni/nimble/pull/927" TargetMode="External"/><Relationship Id="rId422" Type="http://schemas.openxmlformats.org/officeDocument/2006/relationships/hyperlink" Target="https://github.com/adobe/react-spectrum/pull/7284" TargetMode="External"/><Relationship Id="rId664" Type="http://schemas.openxmlformats.org/officeDocument/2006/relationships/hyperlink" Target="https://github.com/gravitee-io/gravitee-ui-components/pull/401" TargetMode="External"/><Relationship Id="rId1011" Type="http://schemas.openxmlformats.org/officeDocument/2006/relationships/hyperlink" Target="https://github.com/Khan/wonder-blocks/pull/2766" TargetMode="External"/><Relationship Id="rId421" Type="http://schemas.openxmlformats.org/officeDocument/2006/relationships/hyperlink" Target="https://github.com/jpmorganchase/salt-ds/pull/3551" TargetMode="External"/><Relationship Id="rId663" Type="http://schemas.openxmlformats.org/officeDocument/2006/relationships/hyperlink" Target="https://github.com/titicacadev/triple-frontend/pull/1754" TargetMode="External"/><Relationship Id="rId1012" Type="http://schemas.openxmlformats.org/officeDocument/2006/relationships/hyperlink" Target="https://github.com/chanzuckerberg/edu-design-system/pull/1440" TargetMode="External"/><Relationship Id="rId420" Type="http://schemas.openxmlformats.org/officeDocument/2006/relationships/hyperlink" Target="https://github.com/guardian/dotcom-rendering/pull/12298" TargetMode="External"/><Relationship Id="rId662" Type="http://schemas.openxmlformats.org/officeDocument/2006/relationships/hyperlink" Target="https://github.com/titicacadev/triple-frontend/pull/1754" TargetMode="External"/><Relationship Id="rId1013" Type="http://schemas.openxmlformats.org/officeDocument/2006/relationships/hyperlink" Target="https://github.com/Khan/wonder-blocks/pull/2758" TargetMode="External"/><Relationship Id="rId661" Type="http://schemas.openxmlformats.org/officeDocument/2006/relationships/hyperlink" Target="https://github.com/contentful/forma-36/pull/1093" TargetMode="External"/><Relationship Id="rId1014" Type="http://schemas.openxmlformats.org/officeDocument/2006/relationships/hyperlink" Target="https://github.com/chanzuckerberg/edu-design-system/pull/1440" TargetMode="External"/><Relationship Id="rId1004" Type="http://schemas.openxmlformats.org/officeDocument/2006/relationships/hyperlink" Target="https://github.com/coder/coder/pull/16020" TargetMode="External"/><Relationship Id="rId1005" Type="http://schemas.openxmlformats.org/officeDocument/2006/relationships/hyperlink" Target="https://github.com/Khan/perseus/pull/2728" TargetMode="External"/><Relationship Id="rId1006" Type="http://schemas.openxmlformats.org/officeDocument/2006/relationships/hyperlink" Target="https://github.com/DouyinFE/semi-design/pull/1317" TargetMode="External"/><Relationship Id="rId1007" Type="http://schemas.openxmlformats.org/officeDocument/2006/relationships/hyperlink" Target="https://github.com/recharts/recharts/pull/6059" TargetMode="External"/><Relationship Id="rId1008" Type="http://schemas.openxmlformats.org/officeDocument/2006/relationships/hyperlink" Target="https://github.com/storybookjs/storybook/pull/20359" TargetMode="External"/><Relationship Id="rId1009" Type="http://schemas.openxmlformats.org/officeDocument/2006/relationships/hyperlink" Target="https://github.com/Khan/wonder-blocks/pull/2715" TargetMode="External"/><Relationship Id="rId415" Type="http://schemas.openxmlformats.org/officeDocument/2006/relationships/hyperlink" Target="https://github.com/sparkdotfi/spark-app/pull/82" TargetMode="External"/><Relationship Id="rId657" Type="http://schemas.openxmlformats.org/officeDocument/2006/relationships/hyperlink" Target="https://github.com/titicacadev/triple-frontend/pull/1762" TargetMode="External"/><Relationship Id="rId899" Type="http://schemas.openxmlformats.org/officeDocument/2006/relationships/hyperlink" Target="https://github.com/sbb-design-systems/lyne-components/pull/1461" TargetMode="External"/><Relationship Id="rId414" Type="http://schemas.openxmlformats.org/officeDocument/2006/relationships/hyperlink" Target="https://github.com/evidence-dev/evidence/pull/2511" TargetMode="External"/><Relationship Id="rId656" Type="http://schemas.openxmlformats.org/officeDocument/2006/relationships/hyperlink" Target="https://github.com/titicacadev/triple-frontend/pull/1762" TargetMode="External"/><Relationship Id="rId898" Type="http://schemas.openxmlformats.org/officeDocument/2006/relationships/hyperlink" Target="https://github.com/WPMedia/arc-themes-components/pull/121" TargetMode="External"/><Relationship Id="rId413" Type="http://schemas.openxmlformats.org/officeDocument/2006/relationships/hyperlink" Target="https://github.com/evidence-dev/evidence/pull/2511" TargetMode="External"/><Relationship Id="rId655" Type="http://schemas.openxmlformats.org/officeDocument/2006/relationships/hyperlink" Target="https://github.com/WPMedia/arc-themes-blocks/pull/1014" TargetMode="External"/><Relationship Id="rId897" Type="http://schemas.openxmlformats.org/officeDocument/2006/relationships/hyperlink" Target="https://github.com/ni/nimble/pull/834" TargetMode="External"/><Relationship Id="rId412" Type="http://schemas.openxmlformats.org/officeDocument/2006/relationships/hyperlink" Target="https://github.com/ni/nimble/pull/2167" TargetMode="External"/><Relationship Id="rId654" Type="http://schemas.openxmlformats.org/officeDocument/2006/relationships/hyperlink" Target="https://github.com/input-output-hk/daedalus/pull/2776" TargetMode="External"/><Relationship Id="rId896" Type="http://schemas.openxmlformats.org/officeDocument/2006/relationships/hyperlink" Target="https://github.com/ni/nimble/pull/834" TargetMode="External"/><Relationship Id="rId419" Type="http://schemas.openxmlformats.org/officeDocument/2006/relationships/hyperlink" Target="https://github.com/guardian/dotcom-rendering/pull/12298" TargetMode="External"/><Relationship Id="rId418" Type="http://schemas.openxmlformats.org/officeDocument/2006/relationships/hyperlink" Target="https://github.com/Sage/carbon/pull/6795" TargetMode="External"/><Relationship Id="rId417" Type="http://schemas.openxmlformats.org/officeDocument/2006/relationships/hyperlink" Target="https://github.com/guardian/dotcom-rendering/pull/12298" TargetMode="External"/><Relationship Id="rId659" Type="http://schemas.openxmlformats.org/officeDocument/2006/relationships/hyperlink" Target="https://github.com/titicacadev/triple-frontend/pull/1754" TargetMode="External"/><Relationship Id="rId416" Type="http://schemas.openxmlformats.org/officeDocument/2006/relationships/hyperlink" Target="https://github.com/guardian/dotcom-rendering/pull/12298" TargetMode="External"/><Relationship Id="rId658" Type="http://schemas.openxmlformats.org/officeDocument/2006/relationships/hyperlink" Target="https://github.com/storybookjs/storybook/pull/15556" TargetMode="External"/><Relationship Id="rId891" Type="http://schemas.openxmlformats.org/officeDocument/2006/relationships/hyperlink" Target="https://github.com/WPMedia/arc-themes-blocks/pull/1556" TargetMode="External"/><Relationship Id="rId890" Type="http://schemas.openxmlformats.org/officeDocument/2006/relationships/hyperlink" Target="https://github.com/WPMedia/arc-themes-blocks/pull/1556" TargetMode="External"/><Relationship Id="rId411" Type="http://schemas.openxmlformats.org/officeDocument/2006/relationships/hyperlink" Target="https://github.com/gradio-app/gradio/pull/9260" TargetMode="External"/><Relationship Id="rId653" Type="http://schemas.openxmlformats.org/officeDocument/2006/relationships/hyperlink" Target="https://github.com/input-output-hk/daedalus/pull/2776" TargetMode="External"/><Relationship Id="rId895" Type="http://schemas.openxmlformats.org/officeDocument/2006/relationships/hyperlink" Target="https://github.com/coder/coder/pull/3189" TargetMode="External"/><Relationship Id="rId1000" Type="http://schemas.openxmlformats.org/officeDocument/2006/relationships/hyperlink" Target="https://github.com/guardian/dotcom-rendering/pull/6405" TargetMode="External"/><Relationship Id="rId410" Type="http://schemas.openxmlformats.org/officeDocument/2006/relationships/hyperlink" Target="https://github.com/gradio-app/gradio/pull/9260" TargetMode="External"/><Relationship Id="rId652" Type="http://schemas.openxmlformats.org/officeDocument/2006/relationships/hyperlink" Target="https://github.com/cultureamp/kaizen-design-system/pull/1800" TargetMode="External"/><Relationship Id="rId894" Type="http://schemas.openxmlformats.org/officeDocument/2006/relationships/hyperlink" Target="https://github.com/storybookjs/storybook/pull/19952" TargetMode="External"/><Relationship Id="rId1001" Type="http://schemas.openxmlformats.org/officeDocument/2006/relationships/hyperlink" Target="https://github.com/Esri/calcite-design-system/pull/10724" TargetMode="External"/><Relationship Id="rId651" Type="http://schemas.openxmlformats.org/officeDocument/2006/relationships/hyperlink" Target="https://github.com/dpc-sdp/ripple/pull/1111" TargetMode="External"/><Relationship Id="rId893" Type="http://schemas.openxmlformats.org/officeDocument/2006/relationships/hyperlink" Target="https://github.com/storybookjs/storybook/pull/19952" TargetMode="External"/><Relationship Id="rId1002" Type="http://schemas.openxmlformats.org/officeDocument/2006/relationships/hyperlink" Target="https://github.com/kiva/kv-ui-elements/pull/597" TargetMode="External"/><Relationship Id="rId650" Type="http://schemas.openxmlformats.org/officeDocument/2006/relationships/hyperlink" Target="https://github.com/dpc-sdp/ripple/pull/1111" TargetMode="External"/><Relationship Id="rId892" Type="http://schemas.openxmlformats.org/officeDocument/2006/relationships/hyperlink" Target="https://github.com/coder/coder/pull/3189" TargetMode="External"/><Relationship Id="rId1003" Type="http://schemas.openxmlformats.org/officeDocument/2006/relationships/hyperlink" Target="https://github.com/wellcomecollection/wellcomecollection.org/pull/8945" TargetMode="External"/><Relationship Id="rId206" Type="http://schemas.openxmlformats.org/officeDocument/2006/relationships/hyperlink" Target="https://github.com/adobe/react-spectrum/pull/5705" TargetMode="External"/><Relationship Id="rId448" Type="http://schemas.openxmlformats.org/officeDocument/2006/relationships/hyperlink" Target="https://github.com/Esri/calcite-design-system/pull/9969" TargetMode="External"/><Relationship Id="rId205" Type="http://schemas.openxmlformats.org/officeDocument/2006/relationships/hyperlink" Target="https://github.com/NeurodataWithoutBorders/nwb-guide/pull/305" TargetMode="External"/><Relationship Id="rId447" Type="http://schemas.openxmlformats.org/officeDocument/2006/relationships/hyperlink" Target="https://github.com/Khan/wonder-blocks/pull/2363" TargetMode="External"/><Relationship Id="rId689" Type="http://schemas.openxmlformats.org/officeDocument/2006/relationships/hyperlink" Target="https://github.com/guardian/dotcom-rendering/pull/3823" TargetMode="External"/><Relationship Id="rId204" Type="http://schemas.openxmlformats.org/officeDocument/2006/relationships/hyperlink" Target="https://github.com/AmazeeLabs/silverback-template/pull/132" TargetMode="External"/><Relationship Id="rId446" Type="http://schemas.openxmlformats.org/officeDocument/2006/relationships/hyperlink" Target="https://github.com/Khan/wonder-blocks/pull/2363" TargetMode="External"/><Relationship Id="rId688" Type="http://schemas.openxmlformats.org/officeDocument/2006/relationships/hyperlink" Target="https://github.com/guardian/gateway/pull/791" TargetMode="External"/><Relationship Id="rId203" Type="http://schemas.openxmlformats.org/officeDocument/2006/relationships/hyperlink" Target="https://github.com/AmazeeLabs/silverback-template/pull/132" TargetMode="External"/><Relationship Id="rId445" Type="http://schemas.openxmlformats.org/officeDocument/2006/relationships/hyperlink" Target="https://github.com/sillsdev/web-xforge/pull/2557" TargetMode="External"/><Relationship Id="rId687" Type="http://schemas.openxmlformats.org/officeDocument/2006/relationships/hyperlink" Target="https://github.com/hackworthltd/primer-app/pull/213" TargetMode="External"/><Relationship Id="rId209" Type="http://schemas.openxmlformats.org/officeDocument/2006/relationships/hyperlink" Target="https://github.com/adobe/react-spectrum/pull/5705" TargetMode="External"/><Relationship Id="rId208" Type="http://schemas.openxmlformats.org/officeDocument/2006/relationships/hyperlink" Target="https://github.com/solid-design-system/solid/pull/318" TargetMode="External"/><Relationship Id="rId207" Type="http://schemas.openxmlformats.org/officeDocument/2006/relationships/hyperlink" Target="https://github.com/adobe/react-spectrum/pull/5705" TargetMode="External"/><Relationship Id="rId449" Type="http://schemas.openxmlformats.org/officeDocument/2006/relationships/hyperlink" Target="https://github.com/fortanix/baklava/pull/54" TargetMode="External"/><Relationship Id="rId440" Type="http://schemas.openxmlformats.org/officeDocument/2006/relationships/hyperlink" Target="https://github.com/opendatasoft/ods-dataviz-sdk/pull/266" TargetMode="External"/><Relationship Id="rId682" Type="http://schemas.openxmlformats.org/officeDocument/2006/relationships/hyperlink" Target="https://github.com/WPMedia/arc-themes-blocks/pull/1062" TargetMode="External"/><Relationship Id="rId681" Type="http://schemas.openxmlformats.org/officeDocument/2006/relationships/hyperlink" Target="https://github.com/Workday/canvas-kit/pull/1441" TargetMode="External"/><Relationship Id="rId680" Type="http://schemas.openxmlformats.org/officeDocument/2006/relationships/hyperlink" Target="https://github.com/Workday/canvas-kit/pull/1441" TargetMode="External"/><Relationship Id="rId202" Type="http://schemas.openxmlformats.org/officeDocument/2006/relationships/hyperlink" Target="https://github.com/epicmaxco/vuestic-ui/pull/3729" TargetMode="External"/><Relationship Id="rId444" Type="http://schemas.openxmlformats.org/officeDocument/2006/relationships/hyperlink" Target="https://github.com/kufu/smarthr-ui/pull/5091" TargetMode="External"/><Relationship Id="rId686" Type="http://schemas.openxmlformats.org/officeDocument/2006/relationships/hyperlink" Target="https://github.com/hackworthltd/primer-app/pull/213" TargetMode="External"/><Relationship Id="rId201" Type="http://schemas.openxmlformats.org/officeDocument/2006/relationships/hyperlink" Target="https://github.com/AmazeeLabs/silverback-template/pull/132" TargetMode="External"/><Relationship Id="rId443" Type="http://schemas.openxmlformats.org/officeDocument/2006/relationships/hyperlink" Target="https://github.com/kufu/smarthr-ui/pull/5091" TargetMode="External"/><Relationship Id="rId685" Type="http://schemas.openxmlformats.org/officeDocument/2006/relationships/hyperlink" Target="https://github.com/guardian/gateway/pull/791" TargetMode="External"/><Relationship Id="rId200" Type="http://schemas.openxmlformats.org/officeDocument/2006/relationships/hyperlink" Target="https://github.com/AmazeeLabs/silverback-template/pull/132" TargetMode="External"/><Relationship Id="rId442" Type="http://schemas.openxmlformats.org/officeDocument/2006/relationships/hyperlink" Target="https://github.com/adobe/spectrum-css/pull/2929" TargetMode="External"/><Relationship Id="rId684" Type="http://schemas.openxmlformats.org/officeDocument/2006/relationships/hyperlink" Target="https://github.com/hackworthltd/primer-app/pull/213" TargetMode="External"/><Relationship Id="rId441" Type="http://schemas.openxmlformats.org/officeDocument/2006/relationships/hyperlink" Target="https://github.com/opendatasoft/ods-dataviz-sdk/pull/266" TargetMode="External"/><Relationship Id="rId683" Type="http://schemas.openxmlformats.org/officeDocument/2006/relationships/hyperlink" Target="https://github.com/hackworthltd/primer-app/pull/213" TargetMode="External"/><Relationship Id="rId437" Type="http://schemas.openxmlformats.org/officeDocument/2006/relationships/hyperlink" Target="https://github.com/Esri/calcite-design-system/pull/10820" TargetMode="External"/><Relationship Id="rId679" Type="http://schemas.openxmlformats.org/officeDocument/2006/relationships/hyperlink" Target="https://github.com/WPMedia/arc-themes-blocks/pull/1019" TargetMode="External"/><Relationship Id="rId436" Type="http://schemas.openxmlformats.org/officeDocument/2006/relationships/hyperlink" Target="https://github.com/gradio-app/gradio/pull/8851" TargetMode="External"/><Relationship Id="rId678" Type="http://schemas.openxmlformats.org/officeDocument/2006/relationships/hyperlink" Target="https://github.com/guardian/dotcom-rendering/pull/3724" TargetMode="External"/><Relationship Id="rId435" Type="http://schemas.openxmlformats.org/officeDocument/2006/relationships/hyperlink" Target="https://github.com/Sage/carbon/pull/7091" TargetMode="External"/><Relationship Id="rId677" Type="http://schemas.openxmlformats.org/officeDocument/2006/relationships/hyperlink" Target="https://github.com/guardian/dotcom-rendering/pull/3724" TargetMode="External"/><Relationship Id="rId434" Type="http://schemas.openxmlformats.org/officeDocument/2006/relationships/hyperlink" Target="https://github.com/Sage/carbon/pull/7091" TargetMode="External"/><Relationship Id="rId676" Type="http://schemas.openxmlformats.org/officeDocument/2006/relationships/hyperlink" Target="https://github.com/WPMedia/arc-themes-blocks/pull/1019" TargetMode="External"/><Relationship Id="rId439" Type="http://schemas.openxmlformats.org/officeDocument/2006/relationships/hyperlink" Target="https://github.com/ni/nimble/pull/2315" TargetMode="External"/><Relationship Id="rId438" Type="http://schemas.openxmlformats.org/officeDocument/2006/relationships/hyperlink" Target="https://github.com/Esri/calcite-design-system/pull/10820" TargetMode="External"/><Relationship Id="rId671" Type="http://schemas.openxmlformats.org/officeDocument/2006/relationships/hyperlink" Target="https://github.com/Workday/canvas-kit/pull/1396" TargetMode="External"/><Relationship Id="rId670" Type="http://schemas.openxmlformats.org/officeDocument/2006/relationships/hyperlink" Target="https://github.com/sberdevices/plasma/pull/676" TargetMode="External"/><Relationship Id="rId1020" Type="http://schemas.openxmlformats.org/officeDocument/2006/relationships/drawing" Target="../drawings/drawing2.xml"/><Relationship Id="rId433" Type="http://schemas.openxmlformats.org/officeDocument/2006/relationships/hyperlink" Target="https://github.com/recharts/recharts/pull/4795" TargetMode="External"/><Relationship Id="rId675" Type="http://schemas.openxmlformats.org/officeDocument/2006/relationships/hyperlink" Target="https://github.com/Khan/wonder-blocks/pull/1257" TargetMode="External"/><Relationship Id="rId432" Type="http://schemas.openxmlformats.org/officeDocument/2006/relationships/hyperlink" Target="https://github.com/Longhorn-Developers/UT-Registration-Plus/pull/425" TargetMode="External"/><Relationship Id="rId674" Type="http://schemas.openxmlformats.org/officeDocument/2006/relationships/hyperlink" Target="https://github.com/Khan/wonder-blocks/pull/1257" TargetMode="External"/><Relationship Id="rId431" Type="http://schemas.openxmlformats.org/officeDocument/2006/relationships/hyperlink" Target="https://github.com/Longhorn-Developers/UT-Registration-Plus/pull/425" TargetMode="External"/><Relationship Id="rId673" Type="http://schemas.openxmlformats.org/officeDocument/2006/relationships/hyperlink" Target="https://github.com/sberdevices/plasma/pull/676" TargetMode="External"/><Relationship Id="rId430" Type="http://schemas.openxmlformats.org/officeDocument/2006/relationships/hyperlink" Target="https://github.com/Esri/calcite-design-system/pull/9912" TargetMode="External"/><Relationship Id="rId672" Type="http://schemas.openxmlformats.org/officeDocument/2006/relationships/hyperlink" Target="https://github.com/Workday/canvas-kit/pull/1396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github.com/storybookjs/storybook/pull/15556" TargetMode="External"/><Relationship Id="rId194" Type="http://schemas.openxmlformats.org/officeDocument/2006/relationships/hyperlink" Target="https://github.com/sberdevices/plasma/pull/676" TargetMode="External"/><Relationship Id="rId193" Type="http://schemas.openxmlformats.org/officeDocument/2006/relationships/hyperlink" Target="https://github.com/WPMedia/arc-themes-blocks/pull/1044" TargetMode="External"/><Relationship Id="rId192" Type="http://schemas.openxmlformats.org/officeDocument/2006/relationships/hyperlink" Target="https://github.com/gravitee-io/gravitee-ui-components/pull/401" TargetMode="External"/><Relationship Id="rId191" Type="http://schemas.openxmlformats.org/officeDocument/2006/relationships/hyperlink" Target="https://github.com/contentful/forma-36/pull/1093" TargetMode="External"/><Relationship Id="rId187" Type="http://schemas.openxmlformats.org/officeDocument/2006/relationships/hyperlink" Target="https://github.com/ntls-io/nautilus-wallet/pull/23" TargetMode="External"/><Relationship Id="rId186" Type="http://schemas.openxmlformats.org/officeDocument/2006/relationships/hyperlink" Target="https://github.com/ntls-io/nautilus-wallet/pull/28" TargetMode="External"/><Relationship Id="rId185" Type="http://schemas.openxmlformats.org/officeDocument/2006/relationships/hyperlink" Target="https://github.com/ntls-io/nautilus-wallet/pull/28" TargetMode="External"/><Relationship Id="rId184" Type="http://schemas.openxmlformats.org/officeDocument/2006/relationships/hyperlink" Target="https://github.com/microsoft/iot-cardboard-js/pull/78" TargetMode="External"/><Relationship Id="rId189" Type="http://schemas.openxmlformats.org/officeDocument/2006/relationships/hyperlink" Target="https://github.com/WPMedia/arc-themes-blocks/pull/1014" TargetMode="External"/><Relationship Id="rId188" Type="http://schemas.openxmlformats.org/officeDocument/2006/relationships/hyperlink" Target="https://github.com/cultureamp/kaizen-design-system/pull/1800" TargetMode="External"/><Relationship Id="rId183" Type="http://schemas.openxmlformats.org/officeDocument/2006/relationships/hyperlink" Target="https://github.com/getappmap/appmap-js/pull/255" TargetMode="External"/><Relationship Id="rId182" Type="http://schemas.openxmlformats.org/officeDocument/2006/relationships/hyperlink" Target="https://github.com/adobe/react-spectrum/pull/2057" TargetMode="External"/><Relationship Id="rId181" Type="http://schemas.openxmlformats.org/officeDocument/2006/relationships/hyperlink" Target="https://github.com/adobe/react-spectrum/pull/2057" TargetMode="External"/><Relationship Id="rId180" Type="http://schemas.openxmlformats.org/officeDocument/2006/relationships/hyperlink" Target="https://github.com/grommet/grommet/pull/5213" TargetMode="External"/><Relationship Id="rId176" Type="http://schemas.openxmlformats.org/officeDocument/2006/relationships/hyperlink" Target="https://github.com/storybookjs/storybook/pull/15059" TargetMode="External"/><Relationship Id="rId175" Type="http://schemas.openxmlformats.org/officeDocument/2006/relationships/hyperlink" Target="https://github.com/metmuseum/marble/pull/121" TargetMode="External"/><Relationship Id="rId174" Type="http://schemas.openxmlformats.org/officeDocument/2006/relationships/hyperlink" Target="https://github.com/homebound-team/beam/pull/61" TargetMode="External"/><Relationship Id="rId173" Type="http://schemas.openxmlformats.org/officeDocument/2006/relationships/hyperlink" Target="https://github.com/storybookjs/storybook/pull/14172" TargetMode="External"/><Relationship Id="rId179" Type="http://schemas.openxmlformats.org/officeDocument/2006/relationships/hyperlink" Target="https://github.com/storybookjs/storybook/pull/14820" TargetMode="External"/><Relationship Id="rId178" Type="http://schemas.openxmlformats.org/officeDocument/2006/relationships/hyperlink" Target="https://github.com/WPMedia/arc-themes-blocks/pull/862" TargetMode="External"/><Relationship Id="rId177" Type="http://schemas.openxmlformats.org/officeDocument/2006/relationships/hyperlink" Target="https://github.com/ithaka/pharos/pull/36" TargetMode="External"/><Relationship Id="rId198" Type="http://schemas.openxmlformats.org/officeDocument/2006/relationships/hyperlink" Target="https://github.com/WPMedia/arc-themes-blocks/pull/1062" TargetMode="External"/><Relationship Id="rId197" Type="http://schemas.openxmlformats.org/officeDocument/2006/relationships/hyperlink" Target="https://github.com/WPMedia/arc-themes-blocks/pull/1019" TargetMode="External"/><Relationship Id="rId196" Type="http://schemas.openxmlformats.org/officeDocument/2006/relationships/hyperlink" Target="https://github.com/WPMedia/arc-themes-blocks/pull/1019" TargetMode="External"/><Relationship Id="rId195" Type="http://schemas.openxmlformats.org/officeDocument/2006/relationships/hyperlink" Target="https://github.com/sberdevices/plasma/pull/676" TargetMode="External"/><Relationship Id="rId199" Type="http://schemas.openxmlformats.org/officeDocument/2006/relationships/hyperlink" Target="https://github.com/guardian/gateway/pull/791" TargetMode="External"/><Relationship Id="rId150" Type="http://schemas.openxmlformats.org/officeDocument/2006/relationships/hyperlink" Target="https://github.com/fortanix/baklava/pull/54" TargetMode="External"/><Relationship Id="rId1" Type="http://schemas.openxmlformats.org/officeDocument/2006/relationships/hyperlink" Target="https://github.com/storybookjs/storybook/pull/20712" TargetMode="External"/><Relationship Id="rId2" Type="http://schemas.openxmlformats.org/officeDocument/2006/relationships/hyperlink" Target="https://github.com/storybookjs/storybook/pull/20712" TargetMode="External"/><Relationship Id="rId3" Type="http://schemas.openxmlformats.org/officeDocument/2006/relationships/hyperlink" Target="https://github.com/ni/nimble/pull/966" TargetMode="External"/><Relationship Id="rId149" Type="http://schemas.openxmlformats.org/officeDocument/2006/relationships/hyperlink" Target="https://github.com/Khan/wonder-blocks/pull/2363" TargetMode="External"/><Relationship Id="rId4" Type="http://schemas.openxmlformats.org/officeDocument/2006/relationships/hyperlink" Target="https://github.com/guardian/dotcom-rendering/pull/6954" TargetMode="External"/><Relationship Id="rId148" Type="http://schemas.openxmlformats.org/officeDocument/2006/relationships/hyperlink" Target="https://github.com/kufu/smarthr-ui/pull/5091" TargetMode="External"/><Relationship Id="rId9" Type="http://schemas.openxmlformats.org/officeDocument/2006/relationships/hyperlink" Target="https://github.com/guardian/dotcom-rendering/pull/7128" TargetMode="External"/><Relationship Id="rId143" Type="http://schemas.openxmlformats.org/officeDocument/2006/relationships/hyperlink" Target="https://github.com/VOICEVOX/voicevox/pull/2287" TargetMode="External"/><Relationship Id="rId142" Type="http://schemas.openxmlformats.org/officeDocument/2006/relationships/hyperlink" Target="https://github.com/Esri/calcite-design-system/pull/10621" TargetMode="External"/><Relationship Id="rId141" Type="http://schemas.openxmlformats.org/officeDocument/2006/relationships/hyperlink" Target="https://github.com/adobe/react-spectrum/pull/7284" TargetMode="External"/><Relationship Id="rId140" Type="http://schemas.openxmlformats.org/officeDocument/2006/relationships/hyperlink" Target="https://github.com/guardian/dotcom-rendering/pull/12298" TargetMode="External"/><Relationship Id="rId5" Type="http://schemas.openxmlformats.org/officeDocument/2006/relationships/hyperlink" Target="https://github.com/GCTC-NTGC/gc-digital-talent/pull/5740" TargetMode="External"/><Relationship Id="rId147" Type="http://schemas.openxmlformats.org/officeDocument/2006/relationships/hyperlink" Target="https://github.com/opendatasoft/ods-dataviz-sdk/pull/266" TargetMode="External"/><Relationship Id="rId6" Type="http://schemas.openxmlformats.org/officeDocument/2006/relationships/hyperlink" Target="https://github.com/storybookjs/storybook/pull/20995" TargetMode="External"/><Relationship Id="rId146" Type="http://schemas.openxmlformats.org/officeDocument/2006/relationships/hyperlink" Target="https://github.com/Esri/calcite-design-system/pull/10820" TargetMode="External"/><Relationship Id="rId7" Type="http://schemas.openxmlformats.org/officeDocument/2006/relationships/hyperlink" Target="https://github.com/guardian/dotcom-rendering/pull/7128" TargetMode="External"/><Relationship Id="rId145" Type="http://schemas.openxmlformats.org/officeDocument/2006/relationships/hyperlink" Target="https://github.com/Sage/carbon/pull/7091" TargetMode="External"/><Relationship Id="rId8" Type="http://schemas.openxmlformats.org/officeDocument/2006/relationships/hyperlink" Target="https://github.com/guardian/dotcom-rendering/pull/7128" TargetMode="External"/><Relationship Id="rId144" Type="http://schemas.openxmlformats.org/officeDocument/2006/relationships/hyperlink" Target="https://github.com/Longhorn-Developers/UT-Registration-Plus/pull/425" TargetMode="External"/><Relationship Id="rId139" Type="http://schemas.openxmlformats.org/officeDocument/2006/relationships/hyperlink" Target="https://github.com/guardian/dotcom-rendering/pull/12298" TargetMode="External"/><Relationship Id="rId138" Type="http://schemas.openxmlformats.org/officeDocument/2006/relationships/hyperlink" Target="https://github.com/evidence-dev/evidence/pull/2511" TargetMode="External"/><Relationship Id="rId137" Type="http://schemas.openxmlformats.org/officeDocument/2006/relationships/hyperlink" Target="https://github.com/gradio-app/gradio/pull/9260" TargetMode="External"/><Relationship Id="rId132" Type="http://schemas.openxmlformats.org/officeDocument/2006/relationships/hyperlink" Target="https://github.com/chromaui/chromatic-e2e/pull/207" TargetMode="External"/><Relationship Id="rId131" Type="http://schemas.openxmlformats.org/officeDocument/2006/relationships/hyperlink" Target="https://github.com/guardian/dotcom-rendering/pull/12062" TargetMode="External"/><Relationship Id="rId130" Type="http://schemas.openxmlformats.org/officeDocument/2006/relationships/hyperlink" Target="https://github.com/Khan/wonder-blocks/pull/2309" TargetMode="External"/><Relationship Id="rId136" Type="http://schemas.openxmlformats.org/officeDocument/2006/relationships/hyperlink" Target="https://github.com/nl-design-system/rijkshuisstijl-community/pull/620" TargetMode="External"/><Relationship Id="rId135" Type="http://schemas.openxmlformats.org/officeDocument/2006/relationships/hyperlink" Target="https://github.com/chromaui/chromatic-e2e/pull/203" TargetMode="External"/><Relationship Id="rId134" Type="http://schemas.openxmlformats.org/officeDocument/2006/relationships/hyperlink" Target="https://github.com/Esri/calcite-design-system/pull/10343" TargetMode="External"/><Relationship Id="rId133" Type="http://schemas.openxmlformats.org/officeDocument/2006/relationships/hyperlink" Target="https://github.com/chromaui/chromatic-e2e/pull/207" TargetMode="External"/><Relationship Id="rId172" Type="http://schemas.openxmlformats.org/officeDocument/2006/relationships/hyperlink" Target="https://github.com/storybookjs/storybook/pull/14251" TargetMode="External"/><Relationship Id="rId171" Type="http://schemas.openxmlformats.org/officeDocument/2006/relationships/hyperlink" Target="https://github.com/storybookjs/storybook/pull/14251" TargetMode="External"/><Relationship Id="rId170" Type="http://schemas.openxmlformats.org/officeDocument/2006/relationships/hyperlink" Target="https://github.com/cultureamp/kaizen-design-system/pull/1218" TargetMode="External"/><Relationship Id="rId165" Type="http://schemas.openxmlformats.org/officeDocument/2006/relationships/hyperlink" Target="https://github.com/contentful/forma-36/pull/757" TargetMode="External"/><Relationship Id="rId164" Type="http://schemas.openxmlformats.org/officeDocument/2006/relationships/hyperlink" Target="https://github.com/contentful/forma-36/pull/757" TargetMode="External"/><Relationship Id="rId163" Type="http://schemas.openxmlformats.org/officeDocument/2006/relationships/hyperlink" Target="https://github.com/storybookjs/storybook/pull/13685" TargetMode="External"/><Relationship Id="rId162" Type="http://schemas.openxmlformats.org/officeDocument/2006/relationships/hyperlink" Target="https://github.com/getappmap/appmap-js/pull/57" TargetMode="External"/><Relationship Id="rId169" Type="http://schemas.openxmlformats.org/officeDocument/2006/relationships/hyperlink" Target="https://github.com/CruGlobal/mpdx-react/pull/25" TargetMode="External"/><Relationship Id="rId168" Type="http://schemas.openxmlformats.org/officeDocument/2006/relationships/hyperlink" Target="https://github.com/cultureamp/kaizen-design-system/pull/1053" TargetMode="External"/><Relationship Id="rId167" Type="http://schemas.openxmlformats.org/officeDocument/2006/relationships/hyperlink" Target="https://github.com/cultureamp/kaizen-design-system/pull/1053" TargetMode="External"/><Relationship Id="rId166" Type="http://schemas.openxmlformats.org/officeDocument/2006/relationships/hyperlink" Target="https://github.com/getappmap/appmap-js/pull/32" TargetMode="External"/><Relationship Id="rId161" Type="http://schemas.openxmlformats.org/officeDocument/2006/relationships/hyperlink" Target="https://github.com/curology/radiance-ui/pull/642" TargetMode="External"/><Relationship Id="rId160" Type="http://schemas.openxmlformats.org/officeDocument/2006/relationships/hyperlink" Target="https://github.com/Sage/carbon/pull/3498" TargetMode="External"/><Relationship Id="rId159" Type="http://schemas.openxmlformats.org/officeDocument/2006/relationships/hyperlink" Target="https://github.com/department-of-veterans-affairs/component-library/pull/1487" TargetMode="External"/><Relationship Id="rId154" Type="http://schemas.openxmlformats.org/officeDocument/2006/relationships/hyperlink" Target="https://github.com/coder/coder/pull/16134" TargetMode="External"/><Relationship Id="rId153" Type="http://schemas.openxmlformats.org/officeDocument/2006/relationships/hyperlink" Target="https://github.com/epicmaxco/vuestic-ui/pull/4451" TargetMode="External"/><Relationship Id="rId152" Type="http://schemas.openxmlformats.org/officeDocument/2006/relationships/hyperlink" Target="https://github.com/ithaka/pharos/pull/862" TargetMode="External"/><Relationship Id="rId151" Type="http://schemas.openxmlformats.org/officeDocument/2006/relationships/hyperlink" Target="https://github.com/fortanix/baklava/pull/54" TargetMode="External"/><Relationship Id="rId158" Type="http://schemas.openxmlformats.org/officeDocument/2006/relationships/hyperlink" Target="https://github.com/serendie/serendie/pull/28" TargetMode="External"/><Relationship Id="rId157" Type="http://schemas.openxmlformats.org/officeDocument/2006/relationships/hyperlink" Target="https://github.com/Khan/wonder-blocks/pull/2441" TargetMode="External"/><Relationship Id="rId156" Type="http://schemas.openxmlformats.org/officeDocument/2006/relationships/hyperlink" Target="https://github.com/Esri/calcite-design-system/pull/11215" TargetMode="External"/><Relationship Id="rId155" Type="http://schemas.openxmlformats.org/officeDocument/2006/relationships/hyperlink" Target="https://github.com/kufu/smarthr-ui/pull/5307" TargetMode="External"/><Relationship Id="rId40" Type="http://schemas.openxmlformats.org/officeDocument/2006/relationships/hyperlink" Target="https://github.com/Esri/calcite-design-system/pull/7568" TargetMode="External"/><Relationship Id="rId42" Type="http://schemas.openxmlformats.org/officeDocument/2006/relationships/hyperlink" Target="https://github.com/NeurodataWithoutBorders/nwb-guide/pull/305" TargetMode="External"/><Relationship Id="rId41" Type="http://schemas.openxmlformats.org/officeDocument/2006/relationships/hyperlink" Target="https://github.com/epicmaxco/vuestic-ui/pull/3729" TargetMode="External"/><Relationship Id="rId44" Type="http://schemas.openxmlformats.org/officeDocument/2006/relationships/hyperlink" Target="https://github.com/guardian/dotcom-rendering/pull/8478" TargetMode="External"/><Relationship Id="rId43" Type="http://schemas.openxmlformats.org/officeDocument/2006/relationships/hyperlink" Target="https://github.com/solid-design-system/solid/pull/318" TargetMode="External"/><Relationship Id="rId46" Type="http://schemas.openxmlformats.org/officeDocument/2006/relationships/hyperlink" Target="https://github.com/adobe/react-spectrum/pull/4972" TargetMode="External"/><Relationship Id="rId45" Type="http://schemas.openxmlformats.org/officeDocument/2006/relationships/hyperlink" Target="https://github.com/guardian/dotcom-rendering/pull/8478" TargetMode="External"/><Relationship Id="rId48" Type="http://schemas.openxmlformats.org/officeDocument/2006/relationships/hyperlink" Target="https://github.com/chromaui/addon-visual-tests/pull/69" TargetMode="External"/><Relationship Id="rId47" Type="http://schemas.openxmlformats.org/officeDocument/2006/relationships/hyperlink" Target="https://github.com/guardian/dotcom-rendering/pull/8633" TargetMode="External"/><Relationship Id="rId49" Type="http://schemas.openxmlformats.org/officeDocument/2006/relationships/hyperlink" Target="https://github.com/storybookjs/storybook/pull/24146" TargetMode="External"/><Relationship Id="rId31" Type="http://schemas.openxmlformats.org/officeDocument/2006/relationships/hyperlink" Target="https://github.com/contentful/forma-36/pull/2498" TargetMode="External"/><Relationship Id="rId30" Type="http://schemas.openxmlformats.org/officeDocument/2006/relationships/hyperlink" Target="https://github.com/contentful/forma-36/pull/2498" TargetMode="External"/><Relationship Id="rId33" Type="http://schemas.openxmlformats.org/officeDocument/2006/relationships/hyperlink" Target="https://github.com/Sage-Bionetworks/synapse-web-monorepo/pull/319" TargetMode="External"/><Relationship Id="rId32" Type="http://schemas.openxmlformats.org/officeDocument/2006/relationships/hyperlink" Target="https://github.com/ni/nimble/pull/1335" TargetMode="External"/><Relationship Id="rId35" Type="http://schemas.openxmlformats.org/officeDocument/2006/relationships/hyperlink" Target="https://github.com/contentful/forma-36/pull/2520" TargetMode="External"/><Relationship Id="rId34" Type="http://schemas.openxmlformats.org/officeDocument/2006/relationships/hyperlink" Target="https://github.com/chromaui/addon-visual-tests/pull/22" TargetMode="External"/><Relationship Id="rId37" Type="http://schemas.openxmlformats.org/officeDocument/2006/relationships/hyperlink" Target="https://github.com/isomerpages/isomercms-frontend/pull/1435" TargetMode="External"/><Relationship Id="rId36" Type="http://schemas.openxmlformats.org/officeDocument/2006/relationships/hyperlink" Target="https://github.com/isomerpages/isomercms-frontend/pull/1398" TargetMode="External"/><Relationship Id="rId39" Type="http://schemas.openxmlformats.org/officeDocument/2006/relationships/hyperlink" Target="https://github.com/Esri/calcite-design-system/pull/7568" TargetMode="External"/><Relationship Id="rId38" Type="http://schemas.openxmlformats.org/officeDocument/2006/relationships/hyperlink" Target="https://github.com/isomerpages/isomercms-frontend/pull/1396" TargetMode="External"/><Relationship Id="rId20" Type="http://schemas.openxmlformats.org/officeDocument/2006/relationships/hyperlink" Target="https://github.com/coder/coder/pull/7210" TargetMode="External"/><Relationship Id="rId22" Type="http://schemas.openxmlformats.org/officeDocument/2006/relationships/hyperlink" Target="https://github.com/forkfacts/forkfacts-v2/pull/26" TargetMode="External"/><Relationship Id="rId21" Type="http://schemas.openxmlformats.org/officeDocument/2006/relationships/hyperlink" Target="https://github.com/coder/coder/pull/7210" TargetMode="External"/><Relationship Id="rId24" Type="http://schemas.openxmlformats.org/officeDocument/2006/relationships/hyperlink" Target="https://github.com/ForgeRock/forgerock-web-login-framework/pull/121" TargetMode="External"/><Relationship Id="rId23" Type="http://schemas.openxmlformats.org/officeDocument/2006/relationships/hyperlink" Target="https://github.com/storybookjs/storybook/pull/22336" TargetMode="External"/><Relationship Id="rId26" Type="http://schemas.openxmlformats.org/officeDocument/2006/relationships/hyperlink" Target="https://github.com/danskernesdigitalebibliotek/dpl-design-system/pull/239" TargetMode="External"/><Relationship Id="rId25" Type="http://schemas.openxmlformats.org/officeDocument/2006/relationships/hyperlink" Target="https://github.com/ForgeRock/forgerock-web-login-framework/pull/121" TargetMode="External"/><Relationship Id="rId28" Type="http://schemas.openxmlformats.org/officeDocument/2006/relationships/hyperlink" Target="https://github.com/input-output-hk/lace/pull/128" TargetMode="External"/><Relationship Id="rId27" Type="http://schemas.openxmlformats.org/officeDocument/2006/relationships/hyperlink" Target="https://github.com/NeurodataWithoutBorders/nwb-guide/pull/219" TargetMode="External"/><Relationship Id="rId29" Type="http://schemas.openxmlformats.org/officeDocument/2006/relationships/hyperlink" Target="https://github.com/input-output-hk/lace/pull/128" TargetMode="External"/><Relationship Id="rId11" Type="http://schemas.openxmlformats.org/officeDocument/2006/relationships/hyperlink" Target="https://github.com/adobe/react-spectrum/pull/4243" TargetMode="External"/><Relationship Id="rId10" Type="http://schemas.openxmlformats.org/officeDocument/2006/relationships/hyperlink" Target="https://github.com/ithaka/pharos/pull/503" TargetMode="External"/><Relationship Id="rId13" Type="http://schemas.openxmlformats.org/officeDocument/2006/relationships/hyperlink" Target="https://github.com/NeurodataWithoutBorders/nwb-guide/pull/74" TargetMode="External"/><Relationship Id="rId12" Type="http://schemas.openxmlformats.org/officeDocument/2006/relationships/hyperlink" Target="https://github.com/NeurodataWithoutBorders/nwb-guide/pull/74" TargetMode="External"/><Relationship Id="rId15" Type="http://schemas.openxmlformats.org/officeDocument/2006/relationships/hyperlink" Target="https://github.com/contentful/forma-36/pull/2436" TargetMode="External"/><Relationship Id="rId14" Type="http://schemas.openxmlformats.org/officeDocument/2006/relationships/hyperlink" Target="https://github.com/seek-oss/braid-design-system/pull/1240" TargetMode="External"/><Relationship Id="rId17" Type="http://schemas.openxmlformats.org/officeDocument/2006/relationships/hyperlink" Target="https://github.com/contentful/forma-36/pull/2430" TargetMode="External"/><Relationship Id="rId16" Type="http://schemas.openxmlformats.org/officeDocument/2006/relationships/hyperlink" Target="https://github.com/contentful/forma-36/pull/2436" TargetMode="External"/><Relationship Id="rId19" Type="http://schemas.openxmlformats.org/officeDocument/2006/relationships/hyperlink" Target="https://github.com/livechat/design-system/pull/518" TargetMode="External"/><Relationship Id="rId18" Type="http://schemas.openxmlformats.org/officeDocument/2006/relationships/hyperlink" Target="https://github.com/sbb-design-systems/lyne-components/pull/1691" TargetMode="External"/><Relationship Id="rId84" Type="http://schemas.openxmlformats.org/officeDocument/2006/relationships/hyperlink" Target="https://github.com/kufu/smarthr-ui/pull/4302" TargetMode="External"/><Relationship Id="rId83" Type="http://schemas.openxmlformats.org/officeDocument/2006/relationships/hyperlink" Target="https://github.com/Esri/calcite-design-system/pull/8786" TargetMode="External"/><Relationship Id="rId86" Type="http://schemas.openxmlformats.org/officeDocument/2006/relationships/hyperlink" Target="https://github.com/department-of-veterans-affairs/component-library/pull/1096" TargetMode="External"/><Relationship Id="rId85" Type="http://schemas.openxmlformats.org/officeDocument/2006/relationships/hyperlink" Target="https://github.com/storybookjs/storybook/pull/26254" TargetMode="External"/><Relationship Id="rId88" Type="http://schemas.openxmlformats.org/officeDocument/2006/relationships/hyperlink" Target="https://github.com/kufu/smarthr-ui/pull/4479" TargetMode="External"/><Relationship Id="rId87" Type="http://schemas.openxmlformats.org/officeDocument/2006/relationships/hyperlink" Target="https://github.com/ethereum/ethereum-org-website/pull/12594" TargetMode="External"/><Relationship Id="rId89" Type="http://schemas.openxmlformats.org/officeDocument/2006/relationships/hyperlink" Target="https://github.com/danskernesdigitalebibliotek/dpl-design-system/pull/542" TargetMode="External"/><Relationship Id="rId80" Type="http://schemas.openxmlformats.org/officeDocument/2006/relationships/hyperlink" Target="https://github.com/danskernesdigitalebibliotek/dpl-design-system/pull/518" TargetMode="External"/><Relationship Id="rId82" Type="http://schemas.openxmlformats.org/officeDocument/2006/relationships/hyperlink" Target="https://github.com/department-of-veterans-affairs/component-library/pull/1073" TargetMode="External"/><Relationship Id="rId81" Type="http://schemas.openxmlformats.org/officeDocument/2006/relationships/hyperlink" Target="https://github.com/adobe/react-spectrum/pull/5941" TargetMode="External"/><Relationship Id="rId73" Type="http://schemas.openxmlformats.org/officeDocument/2006/relationships/hyperlink" Target="https://github.com/recharts/recharts/pull/4062" TargetMode="External"/><Relationship Id="rId72" Type="http://schemas.openxmlformats.org/officeDocument/2006/relationships/hyperlink" Target="https://github.com/adobe/react-spectrum/pull/5705" TargetMode="External"/><Relationship Id="rId75" Type="http://schemas.openxmlformats.org/officeDocument/2006/relationships/hyperlink" Target="https://github.com/Esri/calcite-design-system/pull/8561" TargetMode="External"/><Relationship Id="rId74" Type="http://schemas.openxmlformats.org/officeDocument/2006/relationships/hyperlink" Target="https://github.com/Esri/calcite-design-system/pull/8561" TargetMode="External"/><Relationship Id="rId77" Type="http://schemas.openxmlformats.org/officeDocument/2006/relationships/hyperlink" Target="https://github.com/NeurodataWithoutBorders/nwb-guide/pull/555" TargetMode="External"/><Relationship Id="rId76" Type="http://schemas.openxmlformats.org/officeDocument/2006/relationships/hyperlink" Target="https://github.com/kufu/smarthr-ui/pull/4182" TargetMode="External"/><Relationship Id="rId79" Type="http://schemas.openxmlformats.org/officeDocument/2006/relationships/hyperlink" Target="https://github.com/ni/nimble/pull/1791" TargetMode="External"/><Relationship Id="rId78" Type="http://schemas.openxmlformats.org/officeDocument/2006/relationships/hyperlink" Target="https://github.com/storybookjs/storybook/pull/25460" TargetMode="External"/><Relationship Id="rId71" Type="http://schemas.openxmlformats.org/officeDocument/2006/relationships/hyperlink" Target="https://github.com/adobe/react-spectrum/pull/5705" TargetMode="External"/><Relationship Id="rId70" Type="http://schemas.openxmlformats.org/officeDocument/2006/relationships/hyperlink" Target="https://github.com/adobe/react-spectrum/pull/5705" TargetMode="External"/><Relationship Id="rId62" Type="http://schemas.openxmlformats.org/officeDocument/2006/relationships/hyperlink" Target="https://github.com/GCTC-NTGC/gc-digital-talent/pull/8405" TargetMode="External"/><Relationship Id="rId61" Type="http://schemas.openxmlformats.org/officeDocument/2006/relationships/hyperlink" Target="https://github.com/coder/coder/pull/10857" TargetMode="External"/><Relationship Id="rId64" Type="http://schemas.openxmlformats.org/officeDocument/2006/relationships/hyperlink" Target="https://github.com/sbb-design-systems/lyne-components/pull/2255" TargetMode="External"/><Relationship Id="rId63" Type="http://schemas.openxmlformats.org/officeDocument/2006/relationships/hyperlink" Target="https://github.com/daydule/frontend/pull/71" TargetMode="External"/><Relationship Id="rId66" Type="http://schemas.openxmlformats.org/officeDocument/2006/relationships/hyperlink" Target="https://github.com/adobe/spectrum-css/pull/2424" TargetMode="External"/><Relationship Id="rId65" Type="http://schemas.openxmlformats.org/officeDocument/2006/relationships/hyperlink" Target="https://github.com/guardian/dotcom-rendering/pull/9792" TargetMode="External"/><Relationship Id="rId68" Type="http://schemas.openxmlformats.org/officeDocument/2006/relationships/hyperlink" Target="https://github.com/AmazeeLabs/silverback-template/pull/132" TargetMode="External"/><Relationship Id="rId67" Type="http://schemas.openxmlformats.org/officeDocument/2006/relationships/hyperlink" Target="https://github.com/AmazeeLabs/silverback-template/pull/132" TargetMode="External"/><Relationship Id="rId60" Type="http://schemas.openxmlformats.org/officeDocument/2006/relationships/hyperlink" Target="https://github.com/guardian/support-frontend/pull/5429" TargetMode="External"/><Relationship Id="rId69" Type="http://schemas.openxmlformats.org/officeDocument/2006/relationships/hyperlink" Target="https://github.com/adobe/react-spectrum/pull/5705" TargetMode="External"/><Relationship Id="rId51" Type="http://schemas.openxmlformats.org/officeDocument/2006/relationships/hyperlink" Target="https://github.com/isomerpages/isomercms-frontend/pull/1620" TargetMode="External"/><Relationship Id="rId50" Type="http://schemas.openxmlformats.org/officeDocument/2006/relationships/hyperlink" Target="https://github.com/bitwarden/clients/pull/6225" TargetMode="External"/><Relationship Id="rId53" Type="http://schemas.openxmlformats.org/officeDocument/2006/relationships/hyperlink" Target="https://github.com/recharts/recharts/pull/3908" TargetMode="External"/><Relationship Id="rId52" Type="http://schemas.openxmlformats.org/officeDocument/2006/relationships/hyperlink" Target="https://github.com/Esri/calcite-design-system/pull/8055" TargetMode="External"/><Relationship Id="rId55" Type="http://schemas.openxmlformats.org/officeDocument/2006/relationships/hyperlink" Target="https://github.com/Esri/calcite-design-system/pull/8066" TargetMode="External"/><Relationship Id="rId54" Type="http://schemas.openxmlformats.org/officeDocument/2006/relationships/hyperlink" Target="https://github.com/recharts/recharts/pull/3908" TargetMode="External"/><Relationship Id="rId57" Type="http://schemas.openxmlformats.org/officeDocument/2006/relationships/hyperlink" Target="https://github.com/storybookjs/storybook/pull/24395" TargetMode="External"/><Relationship Id="rId56" Type="http://schemas.openxmlformats.org/officeDocument/2006/relationships/hyperlink" Target="https://github.com/navikt/aksel/pull/2395" TargetMode="External"/><Relationship Id="rId59" Type="http://schemas.openxmlformats.org/officeDocument/2006/relationships/hyperlink" Target="https://github.com/kufu/smarthr-ui/pull/3975" TargetMode="External"/><Relationship Id="rId58" Type="http://schemas.openxmlformats.org/officeDocument/2006/relationships/hyperlink" Target="https://github.com/kufu/smarthr-ui/pull/3975" TargetMode="External"/><Relationship Id="rId107" Type="http://schemas.openxmlformats.org/officeDocument/2006/relationships/hyperlink" Target="https://github.com/recharts/recharts/pull/4542" TargetMode="External"/><Relationship Id="rId106" Type="http://schemas.openxmlformats.org/officeDocument/2006/relationships/hyperlink" Target="https://github.com/danskernesdigitalebibliotek/dpl-design-system/pull/650" TargetMode="External"/><Relationship Id="rId105" Type="http://schemas.openxmlformats.org/officeDocument/2006/relationships/hyperlink" Target="https://github.com/danskernesdigitalebibliotek/dpl-design-system/pull/650" TargetMode="External"/><Relationship Id="rId104" Type="http://schemas.openxmlformats.org/officeDocument/2006/relationships/hyperlink" Target="https://github.com/cloudblue/connect-ui-toolkit/pull/92" TargetMode="External"/><Relationship Id="rId109" Type="http://schemas.openxmlformats.org/officeDocument/2006/relationships/hyperlink" Target="https://github.com/Esri/calcite-design-system/pull/9688" TargetMode="External"/><Relationship Id="rId108" Type="http://schemas.openxmlformats.org/officeDocument/2006/relationships/hyperlink" Target="https://github.com/misskey-dev/misskey/pull/13779" TargetMode="External"/><Relationship Id="rId341" Type="http://schemas.openxmlformats.org/officeDocument/2006/relationships/hyperlink" Target="https://github.com/adobe/react-spectrum/pull/8893" TargetMode="External"/><Relationship Id="rId340" Type="http://schemas.openxmlformats.org/officeDocument/2006/relationships/hyperlink" Target="https://github.com/coder/coder/pull/19753" TargetMode="External"/><Relationship Id="rId103" Type="http://schemas.openxmlformats.org/officeDocument/2006/relationships/hyperlink" Target="https://github.com/cloudblue/connect-ui-toolkit/pull/92" TargetMode="External"/><Relationship Id="rId345" Type="http://schemas.openxmlformats.org/officeDocument/2006/relationships/drawing" Target="../drawings/drawing3.xml"/><Relationship Id="rId102" Type="http://schemas.openxmlformats.org/officeDocument/2006/relationships/hyperlink" Target="https://github.com/misskey-dev/misskey/pull/13830" TargetMode="External"/><Relationship Id="rId344" Type="http://schemas.openxmlformats.org/officeDocument/2006/relationships/hyperlink" Target="https://github.com/Khan/wonder-blocks/pull/2786" TargetMode="External"/><Relationship Id="rId101" Type="http://schemas.openxmlformats.org/officeDocument/2006/relationships/hyperlink" Target="https://github.com/kufu/smarthr-ui/pull/4626" TargetMode="External"/><Relationship Id="rId343" Type="http://schemas.openxmlformats.org/officeDocument/2006/relationships/hyperlink" Target="https://github.com/Khan/wonder-blocks/pull/2786" TargetMode="External"/><Relationship Id="rId100" Type="http://schemas.openxmlformats.org/officeDocument/2006/relationships/hyperlink" Target="https://github.com/appsmithorg/appsmith/pull/32857" TargetMode="External"/><Relationship Id="rId342" Type="http://schemas.openxmlformats.org/officeDocument/2006/relationships/hyperlink" Target="https://github.com/opengovsg/isomer/pull/1585" TargetMode="External"/><Relationship Id="rId338" Type="http://schemas.openxmlformats.org/officeDocument/2006/relationships/hyperlink" Target="https://github.com/Khan/wonder-blocks/pull/2766" TargetMode="External"/><Relationship Id="rId337" Type="http://schemas.openxmlformats.org/officeDocument/2006/relationships/hyperlink" Target="https://github.com/Khan/wonder-blocks/pull/2715" TargetMode="External"/><Relationship Id="rId336" Type="http://schemas.openxmlformats.org/officeDocument/2006/relationships/hyperlink" Target="https://github.com/recharts/recharts/pull/6059" TargetMode="External"/><Relationship Id="rId335" Type="http://schemas.openxmlformats.org/officeDocument/2006/relationships/hyperlink" Target="https://github.com/Khan/perseus/pull/2728" TargetMode="External"/><Relationship Id="rId339" Type="http://schemas.openxmlformats.org/officeDocument/2006/relationships/hyperlink" Target="https://github.com/Khan/wonder-blocks/pull/2758" TargetMode="External"/><Relationship Id="rId330" Type="http://schemas.openxmlformats.org/officeDocument/2006/relationships/hyperlink" Target="https://github.com/recharts/recharts/pull/6008" TargetMode="External"/><Relationship Id="rId334" Type="http://schemas.openxmlformats.org/officeDocument/2006/relationships/hyperlink" Target="https://github.com/kiva/kv-ui-elements/pull/597" TargetMode="External"/><Relationship Id="rId333" Type="http://schemas.openxmlformats.org/officeDocument/2006/relationships/hyperlink" Target="https://github.com/Esri/calcite-design-system/pull/12595" TargetMode="External"/><Relationship Id="rId332" Type="http://schemas.openxmlformats.org/officeDocument/2006/relationships/hyperlink" Target="https://github.com/coder/coder/pull/18445" TargetMode="External"/><Relationship Id="rId331" Type="http://schemas.openxmlformats.org/officeDocument/2006/relationships/hyperlink" Target="https://github.com/Khan/wonder-blocks/pull/2661" TargetMode="External"/><Relationship Id="rId129" Type="http://schemas.openxmlformats.org/officeDocument/2006/relationships/hyperlink" Target="https://github.com/sl-design-system/components/pull/1454" TargetMode="External"/><Relationship Id="rId128" Type="http://schemas.openxmlformats.org/officeDocument/2006/relationships/hyperlink" Target="https://github.com/evidence-dev/evidence/pull/2436" TargetMode="External"/><Relationship Id="rId127" Type="http://schemas.openxmlformats.org/officeDocument/2006/relationships/hyperlink" Target="https://github.com/navikt/aksel/pull/3081" TargetMode="External"/><Relationship Id="rId126" Type="http://schemas.openxmlformats.org/officeDocument/2006/relationships/hyperlink" Target="https://github.com/kufu/smarthr-ui/pull/4821" TargetMode="External"/><Relationship Id="rId121" Type="http://schemas.openxmlformats.org/officeDocument/2006/relationships/hyperlink" Target="https://github.com/sillsdev/web-xforge/pull/2557" TargetMode="External"/><Relationship Id="rId120" Type="http://schemas.openxmlformats.org/officeDocument/2006/relationships/hyperlink" Target="https://github.com/adobe/spectrum-css/pull/2929" TargetMode="External"/><Relationship Id="rId125" Type="http://schemas.openxmlformats.org/officeDocument/2006/relationships/hyperlink" Target="https://github.com/evidence-dev/evidence/pull/2317" TargetMode="External"/><Relationship Id="rId124" Type="http://schemas.openxmlformats.org/officeDocument/2006/relationships/hyperlink" Target="https://github.com/DouyinFE/semi-design/pull/2431" TargetMode="External"/><Relationship Id="rId123" Type="http://schemas.openxmlformats.org/officeDocument/2006/relationships/hyperlink" Target="https://github.com/adobe/react-spectrum/pull/6965" TargetMode="External"/><Relationship Id="rId122" Type="http://schemas.openxmlformats.org/officeDocument/2006/relationships/hyperlink" Target="https://github.com/Esri/calcite-design-system/pull/9969" TargetMode="External"/><Relationship Id="rId95" Type="http://schemas.openxmlformats.org/officeDocument/2006/relationships/hyperlink" Target="https://github.com/wellcomecollection/wellcomecollection.org/pull/10792" TargetMode="External"/><Relationship Id="rId94" Type="http://schemas.openxmlformats.org/officeDocument/2006/relationships/hyperlink" Target="https://github.com/guardian/dotcom-rendering/pull/10864" TargetMode="External"/><Relationship Id="rId97" Type="http://schemas.openxmlformats.org/officeDocument/2006/relationships/hyperlink" Target="https://github.com/ethereum/ethereum-org-website/pull/12639" TargetMode="External"/><Relationship Id="rId96" Type="http://schemas.openxmlformats.org/officeDocument/2006/relationships/hyperlink" Target="https://github.com/ethereum/ethereum-org-website/pull/12639" TargetMode="External"/><Relationship Id="rId99" Type="http://schemas.openxmlformats.org/officeDocument/2006/relationships/hyperlink" Target="https://github.com/recharts/recharts/pull/4441" TargetMode="External"/><Relationship Id="rId98" Type="http://schemas.openxmlformats.org/officeDocument/2006/relationships/hyperlink" Target="https://github.com/coder/coder/pull/13031" TargetMode="External"/><Relationship Id="rId91" Type="http://schemas.openxmlformats.org/officeDocument/2006/relationships/hyperlink" Target="https://github.com/Crystal-Creations-GbR/crystal-components/pull/70" TargetMode="External"/><Relationship Id="rId90" Type="http://schemas.openxmlformats.org/officeDocument/2006/relationships/hyperlink" Target="https://github.com/navikt/aksel/pull/2795" TargetMode="External"/><Relationship Id="rId93" Type="http://schemas.openxmlformats.org/officeDocument/2006/relationships/hyperlink" Target="https://github.com/NeurodataWithoutBorders/nwb-guide/pull/674" TargetMode="External"/><Relationship Id="rId92" Type="http://schemas.openxmlformats.org/officeDocument/2006/relationships/hyperlink" Target="https://github.com/chromaui/chromatic-docs/pull/400" TargetMode="External"/><Relationship Id="rId118" Type="http://schemas.openxmlformats.org/officeDocument/2006/relationships/hyperlink" Target="https://github.com/gradio-app/gradio/pull/8851" TargetMode="External"/><Relationship Id="rId117" Type="http://schemas.openxmlformats.org/officeDocument/2006/relationships/hyperlink" Target="https://github.com/recharts/recharts/pull/4795" TargetMode="External"/><Relationship Id="rId116" Type="http://schemas.openxmlformats.org/officeDocument/2006/relationships/hyperlink" Target="https://github.com/Esri/calcite-design-system/pull/9912" TargetMode="External"/><Relationship Id="rId115" Type="http://schemas.openxmlformats.org/officeDocument/2006/relationships/hyperlink" Target="https://github.com/storybookjs/storybook/pull/28739" TargetMode="External"/><Relationship Id="rId119" Type="http://schemas.openxmlformats.org/officeDocument/2006/relationships/hyperlink" Target="https://github.com/ni/nimble/pull/2315" TargetMode="External"/><Relationship Id="rId110" Type="http://schemas.openxmlformats.org/officeDocument/2006/relationships/hyperlink" Target="https://github.com/ni/nimble/pull/2167" TargetMode="External"/><Relationship Id="rId114" Type="http://schemas.openxmlformats.org/officeDocument/2006/relationships/hyperlink" Target="https://github.com/ni/nimble/pull/2189" TargetMode="External"/><Relationship Id="rId113" Type="http://schemas.openxmlformats.org/officeDocument/2006/relationships/hyperlink" Target="https://github.com/jpmorganchase/salt-ds/pull/3551" TargetMode="External"/><Relationship Id="rId112" Type="http://schemas.openxmlformats.org/officeDocument/2006/relationships/hyperlink" Target="https://github.com/Sage/carbon/pull/6795" TargetMode="External"/><Relationship Id="rId111" Type="http://schemas.openxmlformats.org/officeDocument/2006/relationships/hyperlink" Target="https://github.com/ni/nimble/pull/2167" TargetMode="External"/><Relationship Id="rId305" Type="http://schemas.openxmlformats.org/officeDocument/2006/relationships/hyperlink" Target="https://github.com/storybookjs/storybook/pull/20359" TargetMode="External"/><Relationship Id="rId304" Type="http://schemas.openxmlformats.org/officeDocument/2006/relationships/hyperlink" Target="https://github.com/DouyinFE/semi-design/pull/1317" TargetMode="External"/><Relationship Id="rId303" Type="http://schemas.openxmlformats.org/officeDocument/2006/relationships/hyperlink" Target="https://github.com/wellcomecollection/wellcomecollection.org/pull/8945" TargetMode="External"/><Relationship Id="rId302" Type="http://schemas.openxmlformats.org/officeDocument/2006/relationships/hyperlink" Target="https://github.com/guardian/dotcom-rendering/pull/6405" TargetMode="External"/><Relationship Id="rId309" Type="http://schemas.openxmlformats.org/officeDocument/2006/relationships/hyperlink" Target="https://github.com/serendie/serendie/pull/28" TargetMode="External"/><Relationship Id="rId308" Type="http://schemas.openxmlformats.org/officeDocument/2006/relationships/hyperlink" Target="https://github.com/chanzuckerberg/edu-design-system/pull/1440" TargetMode="External"/><Relationship Id="rId307" Type="http://schemas.openxmlformats.org/officeDocument/2006/relationships/hyperlink" Target="https://github.com/chanzuckerberg/edu-design-system/pull/1440" TargetMode="External"/><Relationship Id="rId306" Type="http://schemas.openxmlformats.org/officeDocument/2006/relationships/hyperlink" Target="https://github.com/ni/nimble/pull/927" TargetMode="External"/><Relationship Id="rId301" Type="http://schemas.openxmlformats.org/officeDocument/2006/relationships/hyperlink" Target="https://github.com/Khan/wonder-blocks/pull/1645" TargetMode="External"/><Relationship Id="rId300" Type="http://schemas.openxmlformats.org/officeDocument/2006/relationships/hyperlink" Target="https://github.com/sbb-design-systems/lyne-components/pull/1461" TargetMode="External"/><Relationship Id="rId327" Type="http://schemas.openxmlformats.org/officeDocument/2006/relationships/hyperlink" Target="https://github.com/Khan/wonder-blocks/pull/2602" TargetMode="External"/><Relationship Id="rId326" Type="http://schemas.openxmlformats.org/officeDocument/2006/relationships/hyperlink" Target="https://github.com/storacha/bluesky-backup-webapp-server/pull/171" TargetMode="External"/><Relationship Id="rId325" Type="http://schemas.openxmlformats.org/officeDocument/2006/relationships/hyperlink" Target="https://github.com/coder/coder/pull/17822" TargetMode="External"/><Relationship Id="rId324" Type="http://schemas.openxmlformats.org/officeDocument/2006/relationships/hyperlink" Target="https://github.com/nodejs/nodejs.org/pull/7754" TargetMode="External"/><Relationship Id="rId329" Type="http://schemas.openxmlformats.org/officeDocument/2006/relationships/hyperlink" Target="https://github.com/Khan/wonder-blocks/pull/2600" TargetMode="External"/><Relationship Id="rId328" Type="http://schemas.openxmlformats.org/officeDocument/2006/relationships/hyperlink" Target="https://github.com/Khan/wonder-blocks/pull/2602" TargetMode="External"/><Relationship Id="rId323" Type="http://schemas.openxmlformats.org/officeDocument/2006/relationships/hyperlink" Target="https://github.com/nodejs/nodejs.org/pull/7754" TargetMode="External"/><Relationship Id="rId322" Type="http://schemas.openxmlformats.org/officeDocument/2006/relationships/hyperlink" Target="https://github.com/nodejs/nodejs.org/pull/7754" TargetMode="External"/><Relationship Id="rId321" Type="http://schemas.openxmlformats.org/officeDocument/2006/relationships/hyperlink" Target="https://github.com/Khan/wonder-blocks/pull/2563" TargetMode="External"/><Relationship Id="rId320" Type="http://schemas.openxmlformats.org/officeDocument/2006/relationships/hyperlink" Target="https://github.com/nodejs/nodejs.org/pull/7638" TargetMode="External"/><Relationship Id="rId316" Type="http://schemas.openxmlformats.org/officeDocument/2006/relationships/hyperlink" Target="https://github.com/Khan/wonder-blocks/pull/2508" TargetMode="External"/><Relationship Id="rId315" Type="http://schemas.openxmlformats.org/officeDocument/2006/relationships/hyperlink" Target="https://github.com/Khan/wonder-blocks/pull/2508" TargetMode="External"/><Relationship Id="rId314" Type="http://schemas.openxmlformats.org/officeDocument/2006/relationships/hyperlink" Target="https://github.com/temporalio/ui/pull/2599" TargetMode="External"/><Relationship Id="rId313" Type="http://schemas.openxmlformats.org/officeDocument/2006/relationships/hyperlink" Target="https://github.com/openops-cloud/openops/pull/286" TargetMode="External"/><Relationship Id="rId319" Type="http://schemas.openxmlformats.org/officeDocument/2006/relationships/hyperlink" Target="https://github.com/adobe/spectrum-css/pull/3593" TargetMode="External"/><Relationship Id="rId318" Type="http://schemas.openxmlformats.org/officeDocument/2006/relationships/hyperlink" Target="https://github.com/nl-design-system/denhaag/pull/1709" TargetMode="External"/><Relationship Id="rId317" Type="http://schemas.openxmlformats.org/officeDocument/2006/relationships/hyperlink" Target="https://github.com/ory/elements/pull/371" TargetMode="External"/><Relationship Id="rId312" Type="http://schemas.openxmlformats.org/officeDocument/2006/relationships/hyperlink" Target="https://github.com/Esri/calcite-design-system/pull/11759" TargetMode="External"/><Relationship Id="rId311" Type="http://schemas.openxmlformats.org/officeDocument/2006/relationships/hyperlink" Target="https://github.com/department-of-veterans-affairs/component-library/pull/1487" TargetMode="External"/><Relationship Id="rId310" Type="http://schemas.openxmlformats.org/officeDocument/2006/relationships/hyperlink" Target="https://github.com/opengovsg/isomer/pull/1144" TargetMode="External"/><Relationship Id="rId297" Type="http://schemas.openxmlformats.org/officeDocument/2006/relationships/hyperlink" Target="https://github.com/WPMedia/arc-themes-blocks/pull/1556" TargetMode="External"/><Relationship Id="rId296" Type="http://schemas.openxmlformats.org/officeDocument/2006/relationships/hyperlink" Target="https://github.com/iterative/vscode-dvc/pull/2850" TargetMode="External"/><Relationship Id="rId295" Type="http://schemas.openxmlformats.org/officeDocument/2006/relationships/hyperlink" Target="https://github.com/Trendyol/baklava/pull/327" TargetMode="External"/><Relationship Id="rId294" Type="http://schemas.openxmlformats.org/officeDocument/2006/relationships/hyperlink" Target="https://github.com/guardian/dotcom-rendering/pull/6235" TargetMode="External"/><Relationship Id="rId299" Type="http://schemas.openxmlformats.org/officeDocument/2006/relationships/hyperlink" Target="https://github.com/ni/nimble/pull/834" TargetMode="External"/><Relationship Id="rId298" Type="http://schemas.openxmlformats.org/officeDocument/2006/relationships/hyperlink" Target="https://github.com/storybookjs/storybook/pull/19952" TargetMode="External"/><Relationship Id="rId271" Type="http://schemas.openxmlformats.org/officeDocument/2006/relationships/hyperlink" Target="https://github.com/cerebrl/forgerock-web-login-framework/pull/6" TargetMode="External"/><Relationship Id="rId270" Type="http://schemas.openxmlformats.org/officeDocument/2006/relationships/hyperlink" Target="https://github.com/WPMedia/arc-themes-components/pull/121" TargetMode="External"/><Relationship Id="rId269" Type="http://schemas.openxmlformats.org/officeDocument/2006/relationships/hyperlink" Target="https://github.com/coder/coder/pull/3189" TargetMode="External"/><Relationship Id="rId264" Type="http://schemas.openxmlformats.org/officeDocument/2006/relationships/hyperlink" Target="https://github.com/WPMedia/arc-themes-blocks/pull/1411" TargetMode="External"/><Relationship Id="rId263" Type="http://schemas.openxmlformats.org/officeDocument/2006/relationships/hyperlink" Target="https://github.com/WPMedia/arc-themes-blocks/pull/1411" TargetMode="External"/><Relationship Id="rId262" Type="http://schemas.openxmlformats.org/officeDocument/2006/relationships/hyperlink" Target="https://github.com/homebound-team/beam/pull/550" TargetMode="External"/><Relationship Id="rId261" Type="http://schemas.openxmlformats.org/officeDocument/2006/relationships/hyperlink" Target="https://github.com/ni/nimble/pull/609" TargetMode="External"/><Relationship Id="rId268" Type="http://schemas.openxmlformats.org/officeDocument/2006/relationships/hyperlink" Target="https://github.com/coder/coder/pull/3189" TargetMode="External"/><Relationship Id="rId267" Type="http://schemas.openxmlformats.org/officeDocument/2006/relationships/hyperlink" Target="https://github.com/WPMedia/arc-themes-components/pull/116" TargetMode="External"/><Relationship Id="rId266" Type="http://schemas.openxmlformats.org/officeDocument/2006/relationships/hyperlink" Target="https://github.com/WPMedia/arc-themes-components/pull/116" TargetMode="External"/><Relationship Id="rId265" Type="http://schemas.openxmlformats.org/officeDocument/2006/relationships/hyperlink" Target="https://github.com/WPMedia/arc-themes-blocks/pull/1411" TargetMode="External"/><Relationship Id="rId260" Type="http://schemas.openxmlformats.org/officeDocument/2006/relationships/hyperlink" Target="https://github.com/coder/coder/pull/2103" TargetMode="External"/><Relationship Id="rId259" Type="http://schemas.openxmlformats.org/officeDocument/2006/relationships/hyperlink" Target="https://github.com/WPMedia/arc-themes-blocks/pull/1386" TargetMode="External"/><Relationship Id="rId258" Type="http://schemas.openxmlformats.org/officeDocument/2006/relationships/hyperlink" Target="https://github.com/WPMedia/arc-themes-blocks/pull/1386" TargetMode="External"/><Relationship Id="rId253" Type="http://schemas.openxmlformats.org/officeDocument/2006/relationships/hyperlink" Target="https://github.com/GCTC-NTGC/gc-digital-talent/pull/2728" TargetMode="External"/><Relationship Id="rId252" Type="http://schemas.openxmlformats.org/officeDocument/2006/relationships/hyperlink" Target="https://github.com/GCTC-NTGC/gc-digital-talent/pull/2728" TargetMode="External"/><Relationship Id="rId251" Type="http://schemas.openxmlformats.org/officeDocument/2006/relationships/hyperlink" Target="https://github.com/chanzuckerberg/edu-design-system/pull/1083" TargetMode="External"/><Relationship Id="rId250" Type="http://schemas.openxmlformats.org/officeDocument/2006/relationships/hyperlink" Target="https://github.com/WPMedia/arc-themes-blocks/pull/1365" TargetMode="External"/><Relationship Id="rId257" Type="http://schemas.openxmlformats.org/officeDocument/2006/relationships/hyperlink" Target="https://github.com/WPMedia/arc-themes-blocks/pull/1386" TargetMode="External"/><Relationship Id="rId256" Type="http://schemas.openxmlformats.org/officeDocument/2006/relationships/hyperlink" Target="https://github.com/WPMedia/arc-themes-blocks/pull/1373" TargetMode="External"/><Relationship Id="rId255" Type="http://schemas.openxmlformats.org/officeDocument/2006/relationships/hyperlink" Target="https://github.com/guardian/dotcom-rendering/pull/5128" TargetMode="External"/><Relationship Id="rId254" Type="http://schemas.openxmlformats.org/officeDocument/2006/relationships/hyperlink" Target="https://github.com/GCTC-NTGC/gc-digital-talent/pull/2728" TargetMode="External"/><Relationship Id="rId293" Type="http://schemas.openxmlformats.org/officeDocument/2006/relationships/hyperlink" Target="https://github.com/guardian/dotcom-rendering/pull/6258" TargetMode="External"/><Relationship Id="rId292" Type="http://schemas.openxmlformats.org/officeDocument/2006/relationships/hyperlink" Target="https://github.com/coder/coder/pull/4810" TargetMode="External"/><Relationship Id="rId291" Type="http://schemas.openxmlformats.org/officeDocument/2006/relationships/hyperlink" Target="https://github.com/cultureamp/kaizen-design-system/pull/3051" TargetMode="External"/><Relationship Id="rId290" Type="http://schemas.openxmlformats.org/officeDocument/2006/relationships/hyperlink" Target="https://github.com/chanzuckerberg/edu-design-system/pull/1346" TargetMode="External"/><Relationship Id="rId286" Type="http://schemas.openxmlformats.org/officeDocument/2006/relationships/hyperlink" Target="https://github.com/storybookjs/storybook/pull/19181" TargetMode="External"/><Relationship Id="rId285" Type="http://schemas.openxmlformats.org/officeDocument/2006/relationships/hyperlink" Target="https://github.com/storybookjs/components-marketing/pull/35" TargetMode="External"/><Relationship Id="rId284" Type="http://schemas.openxmlformats.org/officeDocument/2006/relationships/hyperlink" Target="https://github.com/GCTC-NTGC/gc-digital-talent/pull/3865" TargetMode="External"/><Relationship Id="rId283" Type="http://schemas.openxmlformats.org/officeDocument/2006/relationships/hyperlink" Target="https://github.com/dpc-sdp/ripple-framework/pull/224" TargetMode="External"/><Relationship Id="rId289" Type="http://schemas.openxmlformats.org/officeDocument/2006/relationships/hyperlink" Target="https://github.com/chanzuckerberg/edu-design-system/pull/1346" TargetMode="External"/><Relationship Id="rId288" Type="http://schemas.openxmlformats.org/officeDocument/2006/relationships/hyperlink" Target="https://github.com/chanzuckerberg/edu-design-system/pull/1322" TargetMode="External"/><Relationship Id="rId287" Type="http://schemas.openxmlformats.org/officeDocument/2006/relationships/hyperlink" Target="https://github.com/chanzuckerberg/edu-design-system/pull/1322" TargetMode="External"/><Relationship Id="rId282" Type="http://schemas.openxmlformats.org/officeDocument/2006/relationships/hyperlink" Target="https://github.com/storybookjs/storybook/pull/19189" TargetMode="External"/><Relationship Id="rId281" Type="http://schemas.openxmlformats.org/officeDocument/2006/relationships/hyperlink" Target="https://github.com/launchdarkly/launchpad-ui/pull/351" TargetMode="External"/><Relationship Id="rId280" Type="http://schemas.openxmlformats.org/officeDocument/2006/relationships/hyperlink" Target="https://github.com/chanzuckerberg/sci-components/pull/236" TargetMode="External"/><Relationship Id="rId275" Type="http://schemas.openxmlformats.org/officeDocument/2006/relationships/hyperlink" Target="https://github.com/WPMedia/arc-themes-blocks/pull/1481" TargetMode="External"/><Relationship Id="rId274" Type="http://schemas.openxmlformats.org/officeDocument/2006/relationships/hyperlink" Target="https://github.com/WPMedia/arc-themes-blocks/pull/1481" TargetMode="External"/><Relationship Id="rId273" Type="http://schemas.openxmlformats.org/officeDocument/2006/relationships/hyperlink" Target="https://github.com/bitwarden/clients/pull/3372" TargetMode="External"/><Relationship Id="rId272" Type="http://schemas.openxmlformats.org/officeDocument/2006/relationships/hyperlink" Target="https://github.com/guardian/dotcom-rendering/pull/5529" TargetMode="External"/><Relationship Id="rId279" Type="http://schemas.openxmlformats.org/officeDocument/2006/relationships/hyperlink" Target="https://github.com/razorpay/blade/pull/634" TargetMode="External"/><Relationship Id="rId278" Type="http://schemas.openxmlformats.org/officeDocument/2006/relationships/hyperlink" Target="https://github.com/storybookjs/storybook/pull/19029" TargetMode="External"/><Relationship Id="rId277" Type="http://schemas.openxmlformats.org/officeDocument/2006/relationships/hyperlink" Target="https://github.com/WPMedia/arc-themes-blocks/pull/1462" TargetMode="External"/><Relationship Id="rId276" Type="http://schemas.openxmlformats.org/officeDocument/2006/relationships/hyperlink" Target="https://github.com/WPMedia/arc-themes-blocks/pull/1462" TargetMode="External"/><Relationship Id="rId228" Type="http://schemas.openxmlformats.org/officeDocument/2006/relationships/hyperlink" Target="https://github.com/hackworthltd/primer-app/pull/213" TargetMode="External"/><Relationship Id="rId227" Type="http://schemas.openxmlformats.org/officeDocument/2006/relationships/hyperlink" Target="https://github.com/Workday/canvas-kit/pull/1441" TargetMode="External"/><Relationship Id="rId226" Type="http://schemas.openxmlformats.org/officeDocument/2006/relationships/hyperlink" Target="https://github.com/guardian/dotcom-rendering/pull/3724" TargetMode="External"/><Relationship Id="rId225" Type="http://schemas.openxmlformats.org/officeDocument/2006/relationships/hyperlink" Target="https://github.com/Khan/wonder-blocks/pull/1257" TargetMode="External"/><Relationship Id="rId229" Type="http://schemas.openxmlformats.org/officeDocument/2006/relationships/hyperlink" Target="https://github.com/hackworthltd/primer-app/pull/213" TargetMode="External"/><Relationship Id="rId220" Type="http://schemas.openxmlformats.org/officeDocument/2006/relationships/hyperlink" Target="https://github.com/titicacadev/triple-frontend/pull/1754" TargetMode="External"/><Relationship Id="rId224" Type="http://schemas.openxmlformats.org/officeDocument/2006/relationships/hyperlink" Target="https://github.com/Workday/canvas-kit/pull/1396" TargetMode="External"/><Relationship Id="rId223" Type="http://schemas.openxmlformats.org/officeDocument/2006/relationships/hyperlink" Target="https://github.com/homebound-team/beam/pull/409" TargetMode="External"/><Relationship Id="rId222" Type="http://schemas.openxmlformats.org/officeDocument/2006/relationships/hyperlink" Target="https://github.com/homebound-team/beam/pull/409" TargetMode="External"/><Relationship Id="rId221" Type="http://schemas.openxmlformats.org/officeDocument/2006/relationships/hyperlink" Target="https://github.com/titicacadev/triple-frontend/pull/1754" TargetMode="External"/><Relationship Id="rId217" Type="http://schemas.openxmlformats.org/officeDocument/2006/relationships/hyperlink" Target="https://github.com/dpc-sdp/ripple/pull/1111" TargetMode="External"/><Relationship Id="rId216" Type="http://schemas.openxmlformats.org/officeDocument/2006/relationships/hyperlink" Target="https://github.com/cultureamp/kaizen-design-system/pull/2300" TargetMode="External"/><Relationship Id="rId215" Type="http://schemas.openxmlformats.org/officeDocument/2006/relationships/hyperlink" Target="https://github.com/guardian/dotcom-rendering/pull/3645" TargetMode="External"/><Relationship Id="rId214" Type="http://schemas.openxmlformats.org/officeDocument/2006/relationships/hyperlink" Target="https://github.com/guardian/dotcom-rendering/pull/3645" TargetMode="External"/><Relationship Id="rId219" Type="http://schemas.openxmlformats.org/officeDocument/2006/relationships/hyperlink" Target="https://github.com/titicacadev/triple-frontend/pull/1762" TargetMode="External"/><Relationship Id="rId218" Type="http://schemas.openxmlformats.org/officeDocument/2006/relationships/hyperlink" Target="https://github.com/input-output-hk/daedalus/pull/2776" TargetMode="External"/><Relationship Id="rId213" Type="http://schemas.openxmlformats.org/officeDocument/2006/relationships/hyperlink" Target="https://github.com/ntls-io/nautilus-wallet/pull/136" TargetMode="External"/><Relationship Id="rId212" Type="http://schemas.openxmlformats.org/officeDocument/2006/relationships/hyperlink" Target="https://github.com/hackworthltd/primer-app/pull/112" TargetMode="External"/><Relationship Id="rId211" Type="http://schemas.openxmlformats.org/officeDocument/2006/relationships/hyperlink" Target="https://github.com/guardian/dotcom-rendering/pull/3519" TargetMode="External"/><Relationship Id="rId210" Type="http://schemas.openxmlformats.org/officeDocument/2006/relationships/hyperlink" Target="https://github.com/proeco/proeco-client/pull/147" TargetMode="External"/><Relationship Id="rId249" Type="http://schemas.openxmlformats.org/officeDocument/2006/relationships/hyperlink" Target="https://github.com/coder/coder/pull/1574" TargetMode="External"/><Relationship Id="rId248" Type="http://schemas.openxmlformats.org/officeDocument/2006/relationships/hyperlink" Target="https://github.com/adobe/react-spectrum/pull/3132" TargetMode="External"/><Relationship Id="rId247" Type="http://schemas.openxmlformats.org/officeDocument/2006/relationships/hyperlink" Target="https://github.com/contentful/forma-36/pull/2057" TargetMode="External"/><Relationship Id="rId242" Type="http://schemas.openxmlformats.org/officeDocument/2006/relationships/hyperlink" Target="https://github.com/WPMedia/arc-themes-blocks/pull/1347" TargetMode="External"/><Relationship Id="rId241" Type="http://schemas.openxmlformats.org/officeDocument/2006/relationships/hyperlink" Target="https://github.com/coder/coder/pull/981" TargetMode="External"/><Relationship Id="rId240" Type="http://schemas.openxmlformats.org/officeDocument/2006/relationships/hyperlink" Target="https://github.com/metmuseum/marble/pull/185" TargetMode="External"/><Relationship Id="rId246" Type="http://schemas.openxmlformats.org/officeDocument/2006/relationships/hyperlink" Target="https://github.com/WPMedia/arc-themes-blocks/pull/1335" TargetMode="External"/><Relationship Id="rId245" Type="http://schemas.openxmlformats.org/officeDocument/2006/relationships/hyperlink" Target="https://github.com/WPMedia/arc-themes-blocks/pull/1332" TargetMode="External"/><Relationship Id="rId244" Type="http://schemas.openxmlformats.org/officeDocument/2006/relationships/hyperlink" Target="https://github.com/WPMedia/arc-themes-blocks/pull/1345" TargetMode="External"/><Relationship Id="rId243" Type="http://schemas.openxmlformats.org/officeDocument/2006/relationships/hyperlink" Target="https://github.com/WPMedia/arc-themes-blocks/pull/1345" TargetMode="External"/><Relationship Id="rId239" Type="http://schemas.openxmlformats.org/officeDocument/2006/relationships/hyperlink" Target="https://github.com/curology/radiance-ui/pull/1470" TargetMode="External"/><Relationship Id="rId238" Type="http://schemas.openxmlformats.org/officeDocument/2006/relationships/hyperlink" Target="https://github.com/lena1687/react-game-project/pull/1" TargetMode="External"/><Relationship Id="rId237" Type="http://schemas.openxmlformats.org/officeDocument/2006/relationships/hyperlink" Target="https://github.com/chanzuckerberg/edu-design-system/pull/921" TargetMode="External"/><Relationship Id="rId236" Type="http://schemas.openxmlformats.org/officeDocument/2006/relationships/hyperlink" Target="https://github.com/ntls-io/nautilus-wallet/pull/160" TargetMode="External"/><Relationship Id="rId231" Type="http://schemas.openxmlformats.org/officeDocument/2006/relationships/hyperlink" Target="https://github.com/guardian/dotcom-rendering/pull/3988" TargetMode="External"/><Relationship Id="rId230" Type="http://schemas.openxmlformats.org/officeDocument/2006/relationships/hyperlink" Target="https://github.com/guardian/dotcom-rendering/pull/3823" TargetMode="External"/><Relationship Id="rId235" Type="http://schemas.openxmlformats.org/officeDocument/2006/relationships/hyperlink" Target="https://github.com/ni/nimble/pull/406" TargetMode="External"/><Relationship Id="rId234" Type="http://schemas.openxmlformats.org/officeDocument/2006/relationships/hyperlink" Target="https://github.com/guardian/gateway/pull/1575" TargetMode="External"/><Relationship Id="rId233" Type="http://schemas.openxmlformats.org/officeDocument/2006/relationships/hyperlink" Target="https://github.com/chanzuckerberg/edu-design-system/pull/893" TargetMode="External"/><Relationship Id="rId232" Type="http://schemas.openxmlformats.org/officeDocument/2006/relationships/hyperlink" Target="https://github.com/guardian/dotcom-rendering/pull/3897" TargetMode="External"/><Relationship Id="rId206" Type="http://schemas.openxmlformats.org/officeDocument/2006/relationships/hyperlink" Target="https://github.com/WPMedia/arc-themes-blocks/pull/1092" TargetMode="External"/><Relationship Id="rId205" Type="http://schemas.openxmlformats.org/officeDocument/2006/relationships/hyperlink" Target="https://github.com/eisbuk/EisBuk/pull/183" TargetMode="External"/><Relationship Id="rId204" Type="http://schemas.openxmlformats.org/officeDocument/2006/relationships/hyperlink" Target="https://github.com/eisbuk/EisBuk/pull/183" TargetMode="External"/><Relationship Id="rId203" Type="http://schemas.openxmlformats.org/officeDocument/2006/relationships/hyperlink" Target="https://github.com/PostHog/posthog/pull/5736" TargetMode="External"/><Relationship Id="rId209" Type="http://schemas.openxmlformats.org/officeDocument/2006/relationships/hyperlink" Target="https://github.com/BBC-archive/psammead/pull/4548" TargetMode="External"/><Relationship Id="rId208" Type="http://schemas.openxmlformats.org/officeDocument/2006/relationships/hyperlink" Target="https://github.com/storybookjs/storybook/pull/16178" TargetMode="External"/><Relationship Id="rId207" Type="http://schemas.openxmlformats.org/officeDocument/2006/relationships/hyperlink" Target="https://github.com/WPMedia/arc-themes-blocks/pull/1092" TargetMode="External"/><Relationship Id="rId202" Type="http://schemas.openxmlformats.org/officeDocument/2006/relationships/hyperlink" Target="https://github.com/guardian/gateway/pull/791" TargetMode="External"/><Relationship Id="rId201" Type="http://schemas.openxmlformats.org/officeDocument/2006/relationships/hyperlink" Target="https://github.com/guardian/gateway/pull/791" TargetMode="External"/><Relationship Id="rId200" Type="http://schemas.openxmlformats.org/officeDocument/2006/relationships/hyperlink" Target="https://github.com/guardian/gateway/pull/791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serendie/serendie/pull/28" TargetMode="External"/><Relationship Id="rId2" Type="http://schemas.openxmlformats.org/officeDocument/2006/relationships/hyperlink" Target="https://github.com/opengovsg/isomer/pull/1144" TargetMode="External"/><Relationship Id="rId3" Type="http://schemas.openxmlformats.org/officeDocument/2006/relationships/hyperlink" Target="https://github.com/department-of-veterans-affairs/component-library/pull/1487" TargetMode="External"/><Relationship Id="rId4" Type="http://schemas.openxmlformats.org/officeDocument/2006/relationships/hyperlink" Target="https://github.com/Esri/calcite-design-system/pull/11759" TargetMode="External"/><Relationship Id="rId9" Type="http://schemas.openxmlformats.org/officeDocument/2006/relationships/hyperlink" Target="https://github.com/ory/elements/pull/371" TargetMode="External"/><Relationship Id="rId5" Type="http://schemas.openxmlformats.org/officeDocument/2006/relationships/hyperlink" Target="https://github.com/openops-cloud/openops/pull/286" TargetMode="External"/><Relationship Id="rId6" Type="http://schemas.openxmlformats.org/officeDocument/2006/relationships/hyperlink" Target="https://github.com/temporalio/ui/pull/2599" TargetMode="External"/><Relationship Id="rId7" Type="http://schemas.openxmlformats.org/officeDocument/2006/relationships/hyperlink" Target="https://github.com/Khan/wonder-blocks/pull/2508" TargetMode="External"/><Relationship Id="rId8" Type="http://schemas.openxmlformats.org/officeDocument/2006/relationships/hyperlink" Target="https://github.com/Khan/wonder-blocks/pull/2508" TargetMode="External"/><Relationship Id="rId31" Type="http://schemas.openxmlformats.org/officeDocument/2006/relationships/hyperlink" Target="https://github.com/Khan/wonder-blocks/pull/2758" TargetMode="External"/><Relationship Id="rId30" Type="http://schemas.openxmlformats.org/officeDocument/2006/relationships/hyperlink" Target="https://github.com/Khan/wonder-blocks/pull/2766" TargetMode="External"/><Relationship Id="rId33" Type="http://schemas.openxmlformats.org/officeDocument/2006/relationships/hyperlink" Target="https://github.com/adobe/react-spectrum/pull/8893" TargetMode="External"/><Relationship Id="rId32" Type="http://schemas.openxmlformats.org/officeDocument/2006/relationships/hyperlink" Target="https://github.com/coder/coder/pull/19753" TargetMode="External"/><Relationship Id="rId35" Type="http://schemas.openxmlformats.org/officeDocument/2006/relationships/hyperlink" Target="https://github.com/Khan/wonder-blocks/pull/2786" TargetMode="External"/><Relationship Id="rId34" Type="http://schemas.openxmlformats.org/officeDocument/2006/relationships/hyperlink" Target="https://github.com/opengovsg/isomer/pull/1585" TargetMode="External"/><Relationship Id="rId37" Type="http://schemas.openxmlformats.org/officeDocument/2006/relationships/drawing" Target="../drawings/drawing4.xml"/><Relationship Id="rId36" Type="http://schemas.openxmlformats.org/officeDocument/2006/relationships/hyperlink" Target="https://github.com/Khan/wonder-blocks/pull/2786" TargetMode="External"/><Relationship Id="rId20" Type="http://schemas.openxmlformats.org/officeDocument/2006/relationships/hyperlink" Target="https://github.com/Khan/wonder-blocks/pull/2602" TargetMode="External"/><Relationship Id="rId22" Type="http://schemas.openxmlformats.org/officeDocument/2006/relationships/hyperlink" Target="https://github.com/recharts/recharts/pull/6008" TargetMode="External"/><Relationship Id="rId21" Type="http://schemas.openxmlformats.org/officeDocument/2006/relationships/hyperlink" Target="https://github.com/Khan/wonder-blocks/pull/2600" TargetMode="External"/><Relationship Id="rId24" Type="http://schemas.openxmlformats.org/officeDocument/2006/relationships/hyperlink" Target="https://github.com/coder/coder/pull/18445" TargetMode="External"/><Relationship Id="rId23" Type="http://schemas.openxmlformats.org/officeDocument/2006/relationships/hyperlink" Target="https://github.com/Khan/wonder-blocks/pull/2661" TargetMode="External"/><Relationship Id="rId26" Type="http://schemas.openxmlformats.org/officeDocument/2006/relationships/hyperlink" Target="https://github.com/kiva/kv-ui-elements/pull/597" TargetMode="External"/><Relationship Id="rId25" Type="http://schemas.openxmlformats.org/officeDocument/2006/relationships/hyperlink" Target="https://github.com/Esri/calcite-design-system/pull/12595" TargetMode="External"/><Relationship Id="rId28" Type="http://schemas.openxmlformats.org/officeDocument/2006/relationships/hyperlink" Target="https://github.com/recharts/recharts/pull/6059" TargetMode="External"/><Relationship Id="rId27" Type="http://schemas.openxmlformats.org/officeDocument/2006/relationships/hyperlink" Target="https://github.com/Khan/perseus/pull/2728" TargetMode="External"/><Relationship Id="rId29" Type="http://schemas.openxmlformats.org/officeDocument/2006/relationships/hyperlink" Target="https://github.com/Khan/wonder-blocks/pull/2715" TargetMode="External"/><Relationship Id="rId11" Type="http://schemas.openxmlformats.org/officeDocument/2006/relationships/hyperlink" Target="https://github.com/adobe/spectrum-css/pull/3593" TargetMode="External"/><Relationship Id="rId10" Type="http://schemas.openxmlformats.org/officeDocument/2006/relationships/hyperlink" Target="https://github.com/nl-design-system/denhaag/pull/1709" TargetMode="External"/><Relationship Id="rId13" Type="http://schemas.openxmlformats.org/officeDocument/2006/relationships/hyperlink" Target="https://github.com/Khan/wonder-blocks/pull/2563" TargetMode="External"/><Relationship Id="rId12" Type="http://schemas.openxmlformats.org/officeDocument/2006/relationships/hyperlink" Target="https://github.com/nodejs/nodejs.org/pull/7638" TargetMode="External"/><Relationship Id="rId15" Type="http://schemas.openxmlformats.org/officeDocument/2006/relationships/hyperlink" Target="https://github.com/nodejs/nodejs.org/pull/7754" TargetMode="External"/><Relationship Id="rId14" Type="http://schemas.openxmlformats.org/officeDocument/2006/relationships/hyperlink" Target="https://github.com/nodejs/nodejs.org/pull/7754" TargetMode="External"/><Relationship Id="rId17" Type="http://schemas.openxmlformats.org/officeDocument/2006/relationships/hyperlink" Target="https://github.com/coder/coder/pull/17822" TargetMode="External"/><Relationship Id="rId16" Type="http://schemas.openxmlformats.org/officeDocument/2006/relationships/hyperlink" Target="https://github.com/nodejs/nodejs.org/pull/7754" TargetMode="External"/><Relationship Id="rId19" Type="http://schemas.openxmlformats.org/officeDocument/2006/relationships/hyperlink" Target="https://github.com/Khan/wonder-blocks/pull/2602" TargetMode="External"/><Relationship Id="rId18" Type="http://schemas.openxmlformats.org/officeDocument/2006/relationships/hyperlink" Target="https://github.com/storacha/bluesky-backup-webapp-server/pull/171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serendie/serendie/pull/28" TargetMode="External"/><Relationship Id="rId2" Type="http://schemas.openxmlformats.org/officeDocument/2006/relationships/hyperlink" Target="https://github.com/opengovsg/isomer/pull/1144" TargetMode="External"/><Relationship Id="rId3" Type="http://schemas.openxmlformats.org/officeDocument/2006/relationships/hyperlink" Target="https://github.com/department-of-veterans-affairs/component-library/pull/1487" TargetMode="External"/><Relationship Id="rId4" Type="http://schemas.openxmlformats.org/officeDocument/2006/relationships/hyperlink" Target="https://github.com/Esri/calcite-design-system/pull/11759" TargetMode="External"/><Relationship Id="rId9" Type="http://schemas.openxmlformats.org/officeDocument/2006/relationships/hyperlink" Target="https://github.com/ory/elements/pull/371" TargetMode="External"/><Relationship Id="rId5" Type="http://schemas.openxmlformats.org/officeDocument/2006/relationships/hyperlink" Target="https://github.com/openops-cloud/openops/pull/286" TargetMode="External"/><Relationship Id="rId6" Type="http://schemas.openxmlformats.org/officeDocument/2006/relationships/hyperlink" Target="https://github.com/temporalio/ui/pull/2599" TargetMode="External"/><Relationship Id="rId7" Type="http://schemas.openxmlformats.org/officeDocument/2006/relationships/hyperlink" Target="https://github.com/Khan/wonder-blocks/pull/2508" TargetMode="External"/><Relationship Id="rId8" Type="http://schemas.openxmlformats.org/officeDocument/2006/relationships/hyperlink" Target="https://github.com/Khan/wonder-blocks/pull/2508" TargetMode="External"/><Relationship Id="rId31" Type="http://schemas.openxmlformats.org/officeDocument/2006/relationships/hyperlink" Target="https://github.com/Khan/wonder-blocks/pull/2758" TargetMode="External"/><Relationship Id="rId30" Type="http://schemas.openxmlformats.org/officeDocument/2006/relationships/hyperlink" Target="https://github.com/Khan/wonder-blocks/pull/2766" TargetMode="External"/><Relationship Id="rId33" Type="http://schemas.openxmlformats.org/officeDocument/2006/relationships/hyperlink" Target="https://github.com/adobe/react-spectrum/pull/8893" TargetMode="External"/><Relationship Id="rId32" Type="http://schemas.openxmlformats.org/officeDocument/2006/relationships/hyperlink" Target="https://github.com/coder/coder/pull/19753" TargetMode="External"/><Relationship Id="rId35" Type="http://schemas.openxmlformats.org/officeDocument/2006/relationships/hyperlink" Target="https://github.com/Khan/wonder-blocks/pull/2786" TargetMode="External"/><Relationship Id="rId34" Type="http://schemas.openxmlformats.org/officeDocument/2006/relationships/hyperlink" Target="https://github.com/opengovsg/isomer/pull/1585" TargetMode="External"/><Relationship Id="rId37" Type="http://schemas.openxmlformats.org/officeDocument/2006/relationships/drawing" Target="../drawings/drawing5.xml"/><Relationship Id="rId36" Type="http://schemas.openxmlformats.org/officeDocument/2006/relationships/hyperlink" Target="https://github.com/Khan/wonder-blocks/pull/2786" TargetMode="External"/><Relationship Id="rId20" Type="http://schemas.openxmlformats.org/officeDocument/2006/relationships/hyperlink" Target="https://github.com/Khan/wonder-blocks/pull/2602" TargetMode="External"/><Relationship Id="rId22" Type="http://schemas.openxmlformats.org/officeDocument/2006/relationships/hyperlink" Target="https://github.com/recharts/recharts/pull/6008" TargetMode="External"/><Relationship Id="rId21" Type="http://schemas.openxmlformats.org/officeDocument/2006/relationships/hyperlink" Target="https://github.com/Khan/wonder-blocks/pull/2600" TargetMode="External"/><Relationship Id="rId24" Type="http://schemas.openxmlformats.org/officeDocument/2006/relationships/hyperlink" Target="https://github.com/coder/coder/pull/18445" TargetMode="External"/><Relationship Id="rId23" Type="http://schemas.openxmlformats.org/officeDocument/2006/relationships/hyperlink" Target="https://github.com/Khan/wonder-blocks/pull/2661" TargetMode="External"/><Relationship Id="rId26" Type="http://schemas.openxmlformats.org/officeDocument/2006/relationships/hyperlink" Target="https://github.com/kiva/kv-ui-elements/pull/597" TargetMode="External"/><Relationship Id="rId25" Type="http://schemas.openxmlformats.org/officeDocument/2006/relationships/hyperlink" Target="https://github.com/Esri/calcite-design-system/pull/12595" TargetMode="External"/><Relationship Id="rId28" Type="http://schemas.openxmlformats.org/officeDocument/2006/relationships/hyperlink" Target="https://github.com/recharts/recharts/pull/6059" TargetMode="External"/><Relationship Id="rId27" Type="http://schemas.openxmlformats.org/officeDocument/2006/relationships/hyperlink" Target="https://github.com/Khan/perseus/pull/2728" TargetMode="External"/><Relationship Id="rId29" Type="http://schemas.openxmlformats.org/officeDocument/2006/relationships/hyperlink" Target="https://github.com/Khan/wonder-blocks/pull/2715" TargetMode="External"/><Relationship Id="rId11" Type="http://schemas.openxmlformats.org/officeDocument/2006/relationships/hyperlink" Target="https://github.com/adobe/spectrum-css/pull/3593" TargetMode="External"/><Relationship Id="rId10" Type="http://schemas.openxmlformats.org/officeDocument/2006/relationships/hyperlink" Target="https://github.com/nl-design-system/denhaag/pull/1709" TargetMode="External"/><Relationship Id="rId13" Type="http://schemas.openxmlformats.org/officeDocument/2006/relationships/hyperlink" Target="https://github.com/Khan/wonder-blocks/pull/2563" TargetMode="External"/><Relationship Id="rId12" Type="http://schemas.openxmlformats.org/officeDocument/2006/relationships/hyperlink" Target="https://github.com/nodejs/nodejs.org/pull/7638" TargetMode="External"/><Relationship Id="rId15" Type="http://schemas.openxmlformats.org/officeDocument/2006/relationships/hyperlink" Target="https://github.com/nodejs/nodejs.org/pull/7754" TargetMode="External"/><Relationship Id="rId14" Type="http://schemas.openxmlformats.org/officeDocument/2006/relationships/hyperlink" Target="https://github.com/nodejs/nodejs.org/pull/7754" TargetMode="External"/><Relationship Id="rId17" Type="http://schemas.openxmlformats.org/officeDocument/2006/relationships/hyperlink" Target="https://github.com/coder/coder/pull/17822" TargetMode="External"/><Relationship Id="rId16" Type="http://schemas.openxmlformats.org/officeDocument/2006/relationships/hyperlink" Target="https://github.com/nodejs/nodejs.org/pull/7754" TargetMode="External"/><Relationship Id="rId19" Type="http://schemas.openxmlformats.org/officeDocument/2006/relationships/hyperlink" Target="https://github.com/Khan/wonder-blocks/pull/2602" TargetMode="External"/><Relationship Id="rId18" Type="http://schemas.openxmlformats.org/officeDocument/2006/relationships/hyperlink" Target="https://github.com/storacha/bluesky-backup-webapp-server/pull/171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opengovsg/isomer/pull/1144" TargetMode="External"/><Relationship Id="rId2" Type="http://schemas.openxmlformats.org/officeDocument/2006/relationships/hyperlink" Target="https://github.com/Esri/calcite-design-system/pull/11759" TargetMode="External"/><Relationship Id="rId3" Type="http://schemas.openxmlformats.org/officeDocument/2006/relationships/hyperlink" Target="https://github.com/openops-cloud/openops/pull/286" TargetMode="External"/><Relationship Id="rId4" Type="http://schemas.openxmlformats.org/officeDocument/2006/relationships/hyperlink" Target="https://github.com/temporalio/ui/pull/2599" TargetMode="External"/><Relationship Id="rId9" Type="http://schemas.openxmlformats.org/officeDocument/2006/relationships/hyperlink" Target="https://github.com/adobe/spectrum-css/pull/3593" TargetMode="External"/><Relationship Id="rId5" Type="http://schemas.openxmlformats.org/officeDocument/2006/relationships/hyperlink" Target="https://github.com/Khan/wonder-blocks/pull/2508" TargetMode="External"/><Relationship Id="rId6" Type="http://schemas.openxmlformats.org/officeDocument/2006/relationships/hyperlink" Target="https://github.com/Khan/wonder-blocks/pull/2508" TargetMode="External"/><Relationship Id="rId7" Type="http://schemas.openxmlformats.org/officeDocument/2006/relationships/hyperlink" Target="https://github.com/ory/elements/pull/371" TargetMode="External"/><Relationship Id="rId8" Type="http://schemas.openxmlformats.org/officeDocument/2006/relationships/hyperlink" Target="https://github.com/nl-design-system/denhaag/pull/1709" TargetMode="External"/><Relationship Id="rId139" Type="http://schemas.openxmlformats.org/officeDocument/2006/relationships/drawing" Target="../drawings/drawing6.xml"/><Relationship Id="rId138" Type="http://schemas.openxmlformats.org/officeDocument/2006/relationships/hyperlink" Target="https://github.com/Khan/wonder-blocks/pull/2786" TargetMode="External"/><Relationship Id="rId137" Type="http://schemas.openxmlformats.org/officeDocument/2006/relationships/hyperlink" Target="https://github.com/Khan/wonder-blocks/pull/2786" TargetMode="External"/><Relationship Id="rId132" Type="http://schemas.openxmlformats.org/officeDocument/2006/relationships/hyperlink" Target="https://github.com/Khan/wonder-blocks/pull/2786" TargetMode="External"/><Relationship Id="rId131" Type="http://schemas.openxmlformats.org/officeDocument/2006/relationships/hyperlink" Target="https://github.com/adobe/react-spectrum/pull/8893" TargetMode="External"/><Relationship Id="rId130" Type="http://schemas.openxmlformats.org/officeDocument/2006/relationships/hyperlink" Target="https://github.com/opengovsg/isomer/pull/1585" TargetMode="External"/><Relationship Id="rId136" Type="http://schemas.openxmlformats.org/officeDocument/2006/relationships/hyperlink" Target="https://github.com/Khan/wonder-blocks/pull/2786" TargetMode="External"/><Relationship Id="rId135" Type="http://schemas.openxmlformats.org/officeDocument/2006/relationships/hyperlink" Target="https://github.com/Khan/wonder-blocks/pull/2786" TargetMode="External"/><Relationship Id="rId134" Type="http://schemas.openxmlformats.org/officeDocument/2006/relationships/hyperlink" Target="https://github.com/opengovsg/isomer/pull/1585" TargetMode="External"/><Relationship Id="rId133" Type="http://schemas.openxmlformats.org/officeDocument/2006/relationships/hyperlink" Target="https://github.com/Khan/wonder-blocks/pull/2786" TargetMode="External"/><Relationship Id="rId40" Type="http://schemas.openxmlformats.org/officeDocument/2006/relationships/hyperlink" Target="https://github.com/Esri/calcite-design-system/pull/11759" TargetMode="External"/><Relationship Id="rId42" Type="http://schemas.openxmlformats.org/officeDocument/2006/relationships/hyperlink" Target="https://github.com/openops-cloud/openops/pull/286" TargetMode="External"/><Relationship Id="rId41" Type="http://schemas.openxmlformats.org/officeDocument/2006/relationships/hyperlink" Target="https://github.com/department-of-veterans-affairs/component-library/pull/1487" TargetMode="External"/><Relationship Id="rId44" Type="http://schemas.openxmlformats.org/officeDocument/2006/relationships/hyperlink" Target="https://github.com/Esri/calcite-design-system/pull/11759" TargetMode="External"/><Relationship Id="rId43" Type="http://schemas.openxmlformats.org/officeDocument/2006/relationships/hyperlink" Target="https://github.com/openops-cloud/openops/pull/286" TargetMode="External"/><Relationship Id="rId46" Type="http://schemas.openxmlformats.org/officeDocument/2006/relationships/hyperlink" Target="https://github.com/temporalio/ui/pull/2599" TargetMode="External"/><Relationship Id="rId45" Type="http://schemas.openxmlformats.org/officeDocument/2006/relationships/hyperlink" Target="https://github.com/temporalio/ui/pull/2599" TargetMode="External"/><Relationship Id="rId48" Type="http://schemas.openxmlformats.org/officeDocument/2006/relationships/hyperlink" Target="https://github.com/Khan/wonder-blocks/pull/2508" TargetMode="External"/><Relationship Id="rId47" Type="http://schemas.openxmlformats.org/officeDocument/2006/relationships/hyperlink" Target="https://github.com/openops-cloud/openops/pull/286" TargetMode="External"/><Relationship Id="rId49" Type="http://schemas.openxmlformats.org/officeDocument/2006/relationships/hyperlink" Target="https://github.com/Khan/wonder-blocks/pull/2508" TargetMode="External"/><Relationship Id="rId31" Type="http://schemas.openxmlformats.org/officeDocument/2006/relationships/hyperlink" Target="https://github.com/adobe/react-spectrum/pull/8893" TargetMode="External"/><Relationship Id="rId30" Type="http://schemas.openxmlformats.org/officeDocument/2006/relationships/hyperlink" Target="https://github.com/coder/coder/pull/19753" TargetMode="External"/><Relationship Id="rId33" Type="http://schemas.openxmlformats.org/officeDocument/2006/relationships/hyperlink" Target="https://github.com/Khan/wonder-blocks/pull/2786" TargetMode="External"/><Relationship Id="rId32" Type="http://schemas.openxmlformats.org/officeDocument/2006/relationships/hyperlink" Target="https://github.com/opengovsg/isomer/pull/1585" TargetMode="External"/><Relationship Id="rId35" Type="http://schemas.openxmlformats.org/officeDocument/2006/relationships/hyperlink" Target="https://github.com/serendie/serendie/pull/28" TargetMode="External"/><Relationship Id="rId34" Type="http://schemas.openxmlformats.org/officeDocument/2006/relationships/hyperlink" Target="https://github.com/Khan/wonder-blocks/pull/2786" TargetMode="External"/><Relationship Id="rId37" Type="http://schemas.openxmlformats.org/officeDocument/2006/relationships/hyperlink" Target="https://github.com/opengovsg/isomer/pull/1144" TargetMode="External"/><Relationship Id="rId36" Type="http://schemas.openxmlformats.org/officeDocument/2006/relationships/hyperlink" Target="https://github.com/opengovsg/isomer/pull/1144" TargetMode="External"/><Relationship Id="rId39" Type="http://schemas.openxmlformats.org/officeDocument/2006/relationships/hyperlink" Target="https://github.com/Esri/calcite-design-system/pull/11759" TargetMode="External"/><Relationship Id="rId38" Type="http://schemas.openxmlformats.org/officeDocument/2006/relationships/hyperlink" Target="https://github.com/opengovsg/isomer/pull/1144" TargetMode="External"/><Relationship Id="rId20" Type="http://schemas.openxmlformats.org/officeDocument/2006/relationships/hyperlink" Target="https://github.com/recharts/recharts/pull/6008" TargetMode="External"/><Relationship Id="rId22" Type="http://schemas.openxmlformats.org/officeDocument/2006/relationships/hyperlink" Target="https://github.com/coder/coder/pull/18445" TargetMode="External"/><Relationship Id="rId21" Type="http://schemas.openxmlformats.org/officeDocument/2006/relationships/hyperlink" Target="https://github.com/Khan/wonder-blocks/pull/2661" TargetMode="External"/><Relationship Id="rId24" Type="http://schemas.openxmlformats.org/officeDocument/2006/relationships/hyperlink" Target="https://github.com/kiva/kv-ui-elements/pull/597" TargetMode="External"/><Relationship Id="rId23" Type="http://schemas.openxmlformats.org/officeDocument/2006/relationships/hyperlink" Target="https://github.com/Esri/calcite-design-system/pull/12595" TargetMode="External"/><Relationship Id="rId26" Type="http://schemas.openxmlformats.org/officeDocument/2006/relationships/hyperlink" Target="https://github.com/recharts/recharts/pull/6059" TargetMode="External"/><Relationship Id="rId25" Type="http://schemas.openxmlformats.org/officeDocument/2006/relationships/hyperlink" Target="https://github.com/Khan/perseus/pull/2728" TargetMode="External"/><Relationship Id="rId28" Type="http://schemas.openxmlformats.org/officeDocument/2006/relationships/hyperlink" Target="https://github.com/Khan/wonder-blocks/pull/2766" TargetMode="External"/><Relationship Id="rId27" Type="http://schemas.openxmlformats.org/officeDocument/2006/relationships/hyperlink" Target="https://github.com/Khan/wonder-blocks/pull/2715" TargetMode="External"/><Relationship Id="rId29" Type="http://schemas.openxmlformats.org/officeDocument/2006/relationships/hyperlink" Target="https://github.com/Khan/wonder-blocks/pull/2758" TargetMode="External"/><Relationship Id="rId11" Type="http://schemas.openxmlformats.org/officeDocument/2006/relationships/hyperlink" Target="https://github.com/Khan/wonder-blocks/pull/2563" TargetMode="External"/><Relationship Id="rId10" Type="http://schemas.openxmlformats.org/officeDocument/2006/relationships/hyperlink" Target="https://github.com/nodejs/nodejs.org/pull/7638" TargetMode="External"/><Relationship Id="rId13" Type="http://schemas.openxmlformats.org/officeDocument/2006/relationships/hyperlink" Target="https://github.com/nodejs/nodejs.org/pull/7754" TargetMode="External"/><Relationship Id="rId12" Type="http://schemas.openxmlformats.org/officeDocument/2006/relationships/hyperlink" Target="https://github.com/nodejs/nodejs.org/pull/7754" TargetMode="External"/><Relationship Id="rId15" Type="http://schemas.openxmlformats.org/officeDocument/2006/relationships/hyperlink" Target="https://github.com/coder/coder/pull/17822" TargetMode="External"/><Relationship Id="rId14" Type="http://schemas.openxmlformats.org/officeDocument/2006/relationships/hyperlink" Target="https://github.com/nodejs/nodejs.org/pull/7754" TargetMode="External"/><Relationship Id="rId17" Type="http://schemas.openxmlformats.org/officeDocument/2006/relationships/hyperlink" Target="https://github.com/Khan/wonder-blocks/pull/2602" TargetMode="External"/><Relationship Id="rId16" Type="http://schemas.openxmlformats.org/officeDocument/2006/relationships/hyperlink" Target="https://github.com/storacha/bluesky-backup-webapp-server/pull/171" TargetMode="External"/><Relationship Id="rId19" Type="http://schemas.openxmlformats.org/officeDocument/2006/relationships/hyperlink" Target="https://github.com/Khan/wonder-blocks/pull/2600" TargetMode="External"/><Relationship Id="rId18" Type="http://schemas.openxmlformats.org/officeDocument/2006/relationships/hyperlink" Target="https://github.com/Khan/wonder-blocks/pull/2602" TargetMode="External"/><Relationship Id="rId84" Type="http://schemas.openxmlformats.org/officeDocument/2006/relationships/hyperlink" Target="https://github.com/Khan/wonder-blocks/pull/2602" TargetMode="External"/><Relationship Id="rId83" Type="http://schemas.openxmlformats.org/officeDocument/2006/relationships/hyperlink" Target="https://github.com/coder/coder/pull/17822" TargetMode="External"/><Relationship Id="rId86" Type="http://schemas.openxmlformats.org/officeDocument/2006/relationships/hyperlink" Target="https://github.com/storacha/bluesky-backup-webapp-server/pull/171" TargetMode="External"/><Relationship Id="rId85" Type="http://schemas.openxmlformats.org/officeDocument/2006/relationships/hyperlink" Target="https://github.com/Khan/wonder-blocks/pull/2602" TargetMode="External"/><Relationship Id="rId88" Type="http://schemas.openxmlformats.org/officeDocument/2006/relationships/hyperlink" Target="https://github.com/Khan/wonder-blocks/pull/2602" TargetMode="External"/><Relationship Id="rId87" Type="http://schemas.openxmlformats.org/officeDocument/2006/relationships/hyperlink" Target="https://github.com/Khan/wonder-blocks/pull/2602" TargetMode="External"/><Relationship Id="rId89" Type="http://schemas.openxmlformats.org/officeDocument/2006/relationships/hyperlink" Target="https://github.com/Khan/wonder-blocks/pull/2602" TargetMode="External"/><Relationship Id="rId80" Type="http://schemas.openxmlformats.org/officeDocument/2006/relationships/hyperlink" Target="https://github.com/nodejs/nodejs.org/pull/7754" TargetMode="External"/><Relationship Id="rId82" Type="http://schemas.openxmlformats.org/officeDocument/2006/relationships/hyperlink" Target="https://github.com/storacha/bluesky-backup-webapp-server/pull/171" TargetMode="External"/><Relationship Id="rId81" Type="http://schemas.openxmlformats.org/officeDocument/2006/relationships/hyperlink" Target="https://github.com/storacha/bluesky-backup-webapp-server/pull/171" TargetMode="External"/><Relationship Id="rId73" Type="http://schemas.openxmlformats.org/officeDocument/2006/relationships/hyperlink" Target="https://github.com/nodejs/nodejs.org/pull/7754" TargetMode="External"/><Relationship Id="rId72" Type="http://schemas.openxmlformats.org/officeDocument/2006/relationships/hyperlink" Target="https://github.com/nodejs/nodejs.org/pull/7754" TargetMode="External"/><Relationship Id="rId75" Type="http://schemas.openxmlformats.org/officeDocument/2006/relationships/hyperlink" Target="https://github.com/nodejs/nodejs.org/pull/7754" TargetMode="External"/><Relationship Id="rId74" Type="http://schemas.openxmlformats.org/officeDocument/2006/relationships/hyperlink" Target="https://github.com/nodejs/nodejs.org/pull/7754" TargetMode="External"/><Relationship Id="rId77" Type="http://schemas.openxmlformats.org/officeDocument/2006/relationships/hyperlink" Target="https://github.com/nodejs/nodejs.org/pull/7754" TargetMode="External"/><Relationship Id="rId76" Type="http://schemas.openxmlformats.org/officeDocument/2006/relationships/hyperlink" Target="https://github.com/nodejs/nodejs.org/pull/7754" TargetMode="External"/><Relationship Id="rId79" Type="http://schemas.openxmlformats.org/officeDocument/2006/relationships/hyperlink" Target="https://github.com/coder/coder/pull/17822" TargetMode="External"/><Relationship Id="rId78" Type="http://schemas.openxmlformats.org/officeDocument/2006/relationships/hyperlink" Target="https://github.com/coder/coder/pull/17822" TargetMode="External"/><Relationship Id="rId71" Type="http://schemas.openxmlformats.org/officeDocument/2006/relationships/hyperlink" Target="https://github.com/Khan/wonder-blocks/pull/2563" TargetMode="External"/><Relationship Id="rId70" Type="http://schemas.openxmlformats.org/officeDocument/2006/relationships/hyperlink" Target="https://github.com/nodejs/nodejs.org/pull/7754" TargetMode="External"/><Relationship Id="rId62" Type="http://schemas.openxmlformats.org/officeDocument/2006/relationships/hyperlink" Target="https://github.com/nl-design-system/denhaag/pull/1709" TargetMode="External"/><Relationship Id="rId61" Type="http://schemas.openxmlformats.org/officeDocument/2006/relationships/hyperlink" Target="https://github.com/adobe/spectrum-css/pull/3593" TargetMode="External"/><Relationship Id="rId64" Type="http://schemas.openxmlformats.org/officeDocument/2006/relationships/hyperlink" Target="https://github.com/nodejs/nodejs.org/pull/7638" TargetMode="External"/><Relationship Id="rId63" Type="http://schemas.openxmlformats.org/officeDocument/2006/relationships/hyperlink" Target="https://github.com/nodejs/nodejs.org/pull/7638" TargetMode="External"/><Relationship Id="rId66" Type="http://schemas.openxmlformats.org/officeDocument/2006/relationships/hyperlink" Target="https://github.com/Khan/wonder-blocks/pull/2563" TargetMode="External"/><Relationship Id="rId65" Type="http://schemas.openxmlformats.org/officeDocument/2006/relationships/hyperlink" Target="https://github.com/adobe/spectrum-css/pull/3593" TargetMode="External"/><Relationship Id="rId68" Type="http://schemas.openxmlformats.org/officeDocument/2006/relationships/hyperlink" Target="https://github.com/nodejs/nodejs.org/pull/7638" TargetMode="External"/><Relationship Id="rId67" Type="http://schemas.openxmlformats.org/officeDocument/2006/relationships/hyperlink" Target="https://github.com/Khan/wonder-blocks/pull/2563" TargetMode="External"/><Relationship Id="rId60" Type="http://schemas.openxmlformats.org/officeDocument/2006/relationships/hyperlink" Target="https://github.com/adobe/spectrum-css/pull/3593" TargetMode="External"/><Relationship Id="rId69" Type="http://schemas.openxmlformats.org/officeDocument/2006/relationships/hyperlink" Target="https://github.com/nodejs/nodejs.org/pull/7754" TargetMode="External"/><Relationship Id="rId51" Type="http://schemas.openxmlformats.org/officeDocument/2006/relationships/hyperlink" Target="https://github.com/Khan/wonder-blocks/pull/2508" TargetMode="External"/><Relationship Id="rId50" Type="http://schemas.openxmlformats.org/officeDocument/2006/relationships/hyperlink" Target="https://github.com/temporalio/ui/pull/2599" TargetMode="External"/><Relationship Id="rId53" Type="http://schemas.openxmlformats.org/officeDocument/2006/relationships/hyperlink" Target="https://github.com/Khan/wonder-blocks/pull/2508" TargetMode="External"/><Relationship Id="rId52" Type="http://schemas.openxmlformats.org/officeDocument/2006/relationships/hyperlink" Target="https://github.com/Khan/wonder-blocks/pull/2508" TargetMode="External"/><Relationship Id="rId55" Type="http://schemas.openxmlformats.org/officeDocument/2006/relationships/hyperlink" Target="https://github.com/ory/elements/pull/371" TargetMode="External"/><Relationship Id="rId54" Type="http://schemas.openxmlformats.org/officeDocument/2006/relationships/hyperlink" Target="https://github.com/ory/elements/pull/371" TargetMode="External"/><Relationship Id="rId57" Type="http://schemas.openxmlformats.org/officeDocument/2006/relationships/hyperlink" Target="https://github.com/nl-design-system/denhaag/pull/1709" TargetMode="External"/><Relationship Id="rId56" Type="http://schemas.openxmlformats.org/officeDocument/2006/relationships/hyperlink" Target="https://github.com/Khan/wonder-blocks/pull/2508" TargetMode="External"/><Relationship Id="rId59" Type="http://schemas.openxmlformats.org/officeDocument/2006/relationships/hyperlink" Target="https://github.com/ory/elements/pull/371" TargetMode="External"/><Relationship Id="rId58" Type="http://schemas.openxmlformats.org/officeDocument/2006/relationships/hyperlink" Target="https://github.com/nl-design-system/denhaag/pull/1709" TargetMode="External"/><Relationship Id="rId107" Type="http://schemas.openxmlformats.org/officeDocument/2006/relationships/hyperlink" Target="https://github.com/Esri/calcite-design-system/pull/12595" TargetMode="External"/><Relationship Id="rId106" Type="http://schemas.openxmlformats.org/officeDocument/2006/relationships/hyperlink" Target="https://github.com/kiva/kv-ui-elements/pull/597" TargetMode="External"/><Relationship Id="rId105" Type="http://schemas.openxmlformats.org/officeDocument/2006/relationships/hyperlink" Target="https://github.com/kiva/kv-ui-elements/pull/597" TargetMode="External"/><Relationship Id="rId104" Type="http://schemas.openxmlformats.org/officeDocument/2006/relationships/hyperlink" Target="https://github.com/coder/coder/pull/18445" TargetMode="External"/><Relationship Id="rId109" Type="http://schemas.openxmlformats.org/officeDocument/2006/relationships/hyperlink" Target="https://github.com/Khan/perseus/pull/2728" TargetMode="External"/><Relationship Id="rId108" Type="http://schemas.openxmlformats.org/officeDocument/2006/relationships/hyperlink" Target="https://github.com/Khan/perseus/pull/2728" TargetMode="External"/><Relationship Id="rId103" Type="http://schemas.openxmlformats.org/officeDocument/2006/relationships/hyperlink" Target="https://github.com/Esri/calcite-design-system/pull/12595" TargetMode="External"/><Relationship Id="rId102" Type="http://schemas.openxmlformats.org/officeDocument/2006/relationships/hyperlink" Target="https://github.com/Esri/calcite-design-system/pull/12595" TargetMode="External"/><Relationship Id="rId101" Type="http://schemas.openxmlformats.org/officeDocument/2006/relationships/hyperlink" Target="https://github.com/Khan/wonder-blocks/pull/2661" TargetMode="External"/><Relationship Id="rId100" Type="http://schemas.openxmlformats.org/officeDocument/2006/relationships/hyperlink" Target="https://github.com/coder/coder/pull/18445" TargetMode="External"/><Relationship Id="rId129" Type="http://schemas.openxmlformats.org/officeDocument/2006/relationships/hyperlink" Target="https://github.com/opengovsg/isomer/pull/1585" TargetMode="External"/><Relationship Id="rId128" Type="http://schemas.openxmlformats.org/officeDocument/2006/relationships/hyperlink" Target="https://github.com/coder/coder/pull/19753" TargetMode="External"/><Relationship Id="rId127" Type="http://schemas.openxmlformats.org/officeDocument/2006/relationships/hyperlink" Target="https://github.com/adobe/react-spectrum/pull/8893" TargetMode="External"/><Relationship Id="rId126" Type="http://schemas.openxmlformats.org/officeDocument/2006/relationships/hyperlink" Target="https://github.com/adobe/react-spectrum/pull/8893" TargetMode="External"/><Relationship Id="rId121" Type="http://schemas.openxmlformats.org/officeDocument/2006/relationships/hyperlink" Target="https://github.com/Khan/wonder-blocks/pull/2758" TargetMode="External"/><Relationship Id="rId120" Type="http://schemas.openxmlformats.org/officeDocument/2006/relationships/hyperlink" Target="https://github.com/Khan/wonder-blocks/pull/2758" TargetMode="External"/><Relationship Id="rId125" Type="http://schemas.openxmlformats.org/officeDocument/2006/relationships/hyperlink" Target="https://github.com/Khan/wonder-blocks/pull/2758" TargetMode="External"/><Relationship Id="rId124" Type="http://schemas.openxmlformats.org/officeDocument/2006/relationships/hyperlink" Target="https://github.com/coder/coder/pull/19753" TargetMode="External"/><Relationship Id="rId123" Type="http://schemas.openxmlformats.org/officeDocument/2006/relationships/hyperlink" Target="https://github.com/coder/coder/pull/19753" TargetMode="External"/><Relationship Id="rId122" Type="http://schemas.openxmlformats.org/officeDocument/2006/relationships/hyperlink" Target="https://github.com/Khan/wonder-blocks/pull/2766" TargetMode="External"/><Relationship Id="rId95" Type="http://schemas.openxmlformats.org/officeDocument/2006/relationships/hyperlink" Target="https://github.com/Khan/wonder-blocks/pull/2600" TargetMode="External"/><Relationship Id="rId94" Type="http://schemas.openxmlformats.org/officeDocument/2006/relationships/hyperlink" Target="https://github.com/recharts/recharts/pull/6008" TargetMode="External"/><Relationship Id="rId97" Type="http://schemas.openxmlformats.org/officeDocument/2006/relationships/hyperlink" Target="https://github.com/Khan/wonder-blocks/pull/2661" TargetMode="External"/><Relationship Id="rId96" Type="http://schemas.openxmlformats.org/officeDocument/2006/relationships/hyperlink" Target="https://github.com/Khan/wonder-blocks/pull/2661" TargetMode="External"/><Relationship Id="rId99" Type="http://schemas.openxmlformats.org/officeDocument/2006/relationships/hyperlink" Target="https://github.com/coder/coder/pull/18445" TargetMode="External"/><Relationship Id="rId98" Type="http://schemas.openxmlformats.org/officeDocument/2006/relationships/hyperlink" Target="https://github.com/recharts/recharts/pull/6008" TargetMode="External"/><Relationship Id="rId91" Type="http://schemas.openxmlformats.org/officeDocument/2006/relationships/hyperlink" Target="https://github.com/Khan/wonder-blocks/pull/2600" TargetMode="External"/><Relationship Id="rId90" Type="http://schemas.openxmlformats.org/officeDocument/2006/relationships/hyperlink" Target="https://github.com/Khan/wonder-blocks/pull/2600" TargetMode="External"/><Relationship Id="rId93" Type="http://schemas.openxmlformats.org/officeDocument/2006/relationships/hyperlink" Target="https://github.com/recharts/recharts/pull/6008" TargetMode="External"/><Relationship Id="rId92" Type="http://schemas.openxmlformats.org/officeDocument/2006/relationships/hyperlink" Target="https://github.com/Khan/wonder-blocks/pull/2602" TargetMode="External"/><Relationship Id="rId118" Type="http://schemas.openxmlformats.org/officeDocument/2006/relationships/hyperlink" Target="https://github.com/Khan/wonder-blocks/pull/2766" TargetMode="External"/><Relationship Id="rId117" Type="http://schemas.openxmlformats.org/officeDocument/2006/relationships/hyperlink" Target="https://github.com/Khan/wonder-blocks/pull/2766" TargetMode="External"/><Relationship Id="rId116" Type="http://schemas.openxmlformats.org/officeDocument/2006/relationships/hyperlink" Target="https://github.com/recharts/recharts/pull/6059" TargetMode="External"/><Relationship Id="rId115" Type="http://schemas.openxmlformats.org/officeDocument/2006/relationships/hyperlink" Target="https://github.com/Khan/wonder-blocks/pull/2715" TargetMode="External"/><Relationship Id="rId119" Type="http://schemas.openxmlformats.org/officeDocument/2006/relationships/hyperlink" Target="https://github.com/Khan/wonder-blocks/pull/2715" TargetMode="External"/><Relationship Id="rId110" Type="http://schemas.openxmlformats.org/officeDocument/2006/relationships/hyperlink" Target="https://github.com/kiva/kv-ui-elements/pull/597" TargetMode="External"/><Relationship Id="rId114" Type="http://schemas.openxmlformats.org/officeDocument/2006/relationships/hyperlink" Target="https://github.com/Khan/wonder-blocks/pull/2715" TargetMode="External"/><Relationship Id="rId113" Type="http://schemas.openxmlformats.org/officeDocument/2006/relationships/hyperlink" Target="https://github.com/Khan/perseus/pull/2728" TargetMode="External"/><Relationship Id="rId112" Type="http://schemas.openxmlformats.org/officeDocument/2006/relationships/hyperlink" Target="https://github.com/recharts/recharts/pull/6059" TargetMode="External"/><Relationship Id="rId111" Type="http://schemas.openxmlformats.org/officeDocument/2006/relationships/hyperlink" Target="https://github.com/recharts/recharts/pull/6059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serendie/serendie/pull/28" TargetMode="External"/><Relationship Id="rId2" Type="http://schemas.openxmlformats.org/officeDocument/2006/relationships/hyperlink" Target="https://github.com/opengovsg/isomer/pull/1144" TargetMode="External"/><Relationship Id="rId3" Type="http://schemas.openxmlformats.org/officeDocument/2006/relationships/hyperlink" Target="https://github.com/department-of-veterans-affairs/component-library/pull/1487" TargetMode="External"/><Relationship Id="rId4" Type="http://schemas.openxmlformats.org/officeDocument/2006/relationships/hyperlink" Target="https://github.com/Esri/calcite-design-system/pull/11759" TargetMode="External"/><Relationship Id="rId9" Type="http://schemas.openxmlformats.org/officeDocument/2006/relationships/hyperlink" Target="https://github.com/ory/elements/pull/371" TargetMode="External"/><Relationship Id="rId5" Type="http://schemas.openxmlformats.org/officeDocument/2006/relationships/hyperlink" Target="https://github.com/openops-cloud/openops/pull/286" TargetMode="External"/><Relationship Id="rId6" Type="http://schemas.openxmlformats.org/officeDocument/2006/relationships/hyperlink" Target="https://github.com/temporalio/ui/pull/2599" TargetMode="External"/><Relationship Id="rId7" Type="http://schemas.openxmlformats.org/officeDocument/2006/relationships/hyperlink" Target="https://github.com/Khan/wonder-blocks/pull/2508" TargetMode="External"/><Relationship Id="rId8" Type="http://schemas.openxmlformats.org/officeDocument/2006/relationships/hyperlink" Target="https://github.com/Khan/wonder-blocks/pull/2508" TargetMode="External"/><Relationship Id="rId31" Type="http://schemas.openxmlformats.org/officeDocument/2006/relationships/hyperlink" Target="https://github.com/Khan/wonder-blocks/pull/2758" TargetMode="External"/><Relationship Id="rId30" Type="http://schemas.openxmlformats.org/officeDocument/2006/relationships/hyperlink" Target="https://github.com/Khan/wonder-blocks/pull/2766" TargetMode="External"/><Relationship Id="rId33" Type="http://schemas.openxmlformats.org/officeDocument/2006/relationships/hyperlink" Target="https://github.com/adobe/react-spectrum/pull/8893" TargetMode="External"/><Relationship Id="rId32" Type="http://schemas.openxmlformats.org/officeDocument/2006/relationships/hyperlink" Target="https://github.com/coder/coder/pull/19753" TargetMode="External"/><Relationship Id="rId35" Type="http://schemas.openxmlformats.org/officeDocument/2006/relationships/hyperlink" Target="https://github.com/Khan/wonder-blocks/pull/2786" TargetMode="External"/><Relationship Id="rId34" Type="http://schemas.openxmlformats.org/officeDocument/2006/relationships/hyperlink" Target="https://github.com/opengovsg/isomer/pull/1585" TargetMode="External"/><Relationship Id="rId37" Type="http://schemas.openxmlformats.org/officeDocument/2006/relationships/drawing" Target="../drawings/drawing7.xml"/><Relationship Id="rId36" Type="http://schemas.openxmlformats.org/officeDocument/2006/relationships/hyperlink" Target="https://github.com/Khan/wonder-blocks/pull/2786" TargetMode="External"/><Relationship Id="rId20" Type="http://schemas.openxmlformats.org/officeDocument/2006/relationships/hyperlink" Target="https://github.com/Khan/wonder-blocks/pull/2602" TargetMode="External"/><Relationship Id="rId22" Type="http://schemas.openxmlformats.org/officeDocument/2006/relationships/hyperlink" Target="https://github.com/recharts/recharts/pull/6008" TargetMode="External"/><Relationship Id="rId21" Type="http://schemas.openxmlformats.org/officeDocument/2006/relationships/hyperlink" Target="https://github.com/Khan/wonder-blocks/pull/2600" TargetMode="External"/><Relationship Id="rId24" Type="http://schemas.openxmlformats.org/officeDocument/2006/relationships/hyperlink" Target="https://github.com/coder/coder/pull/18445" TargetMode="External"/><Relationship Id="rId23" Type="http://schemas.openxmlformats.org/officeDocument/2006/relationships/hyperlink" Target="https://github.com/Khan/wonder-blocks/pull/2661" TargetMode="External"/><Relationship Id="rId26" Type="http://schemas.openxmlformats.org/officeDocument/2006/relationships/hyperlink" Target="https://github.com/kiva/kv-ui-elements/pull/597" TargetMode="External"/><Relationship Id="rId25" Type="http://schemas.openxmlformats.org/officeDocument/2006/relationships/hyperlink" Target="https://github.com/Esri/calcite-design-system/pull/12595" TargetMode="External"/><Relationship Id="rId28" Type="http://schemas.openxmlformats.org/officeDocument/2006/relationships/hyperlink" Target="https://github.com/recharts/recharts/pull/6059" TargetMode="External"/><Relationship Id="rId27" Type="http://schemas.openxmlformats.org/officeDocument/2006/relationships/hyperlink" Target="https://github.com/Khan/perseus/pull/2728" TargetMode="External"/><Relationship Id="rId29" Type="http://schemas.openxmlformats.org/officeDocument/2006/relationships/hyperlink" Target="https://github.com/Khan/wonder-blocks/pull/2715" TargetMode="External"/><Relationship Id="rId11" Type="http://schemas.openxmlformats.org/officeDocument/2006/relationships/hyperlink" Target="https://github.com/adobe/spectrum-css/pull/3593" TargetMode="External"/><Relationship Id="rId10" Type="http://schemas.openxmlformats.org/officeDocument/2006/relationships/hyperlink" Target="https://github.com/nl-design-system/denhaag/pull/1709" TargetMode="External"/><Relationship Id="rId13" Type="http://schemas.openxmlformats.org/officeDocument/2006/relationships/hyperlink" Target="https://github.com/Khan/wonder-blocks/pull/2563" TargetMode="External"/><Relationship Id="rId12" Type="http://schemas.openxmlformats.org/officeDocument/2006/relationships/hyperlink" Target="https://github.com/nodejs/nodejs.org/pull/7638" TargetMode="External"/><Relationship Id="rId15" Type="http://schemas.openxmlformats.org/officeDocument/2006/relationships/hyperlink" Target="https://github.com/nodejs/nodejs.org/pull/7754" TargetMode="External"/><Relationship Id="rId14" Type="http://schemas.openxmlformats.org/officeDocument/2006/relationships/hyperlink" Target="https://github.com/nodejs/nodejs.org/pull/7754" TargetMode="External"/><Relationship Id="rId17" Type="http://schemas.openxmlformats.org/officeDocument/2006/relationships/hyperlink" Target="https://github.com/coder/coder/pull/17822" TargetMode="External"/><Relationship Id="rId16" Type="http://schemas.openxmlformats.org/officeDocument/2006/relationships/hyperlink" Target="https://github.com/nodejs/nodejs.org/pull/7754" TargetMode="External"/><Relationship Id="rId19" Type="http://schemas.openxmlformats.org/officeDocument/2006/relationships/hyperlink" Target="https://github.com/Khan/wonder-blocks/pull/2602" TargetMode="External"/><Relationship Id="rId18" Type="http://schemas.openxmlformats.org/officeDocument/2006/relationships/hyperlink" Target="https://github.com/storacha/bluesky-backup-webapp-server/pull/171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9.75"/>
    <col customWidth="1" min="2" max="2" width="30.63"/>
    <col customWidth="1" min="3" max="3" width="15.75"/>
    <col customWidth="1" min="4" max="4" width="56.5"/>
    <col customWidth="1" min="5" max="5" width="27.75"/>
    <col customWidth="1" min="6" max="6" width="23.7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  <c r="D2" s="5"/>
    </row>
    <row r="3">
      <c r="A3" s="6" t="s">
        <v>4</v>
      </c>
      <c r="B3" s="4" t="s">
        <v>5</v>
      </c>
      <c r="D3" s="5"/>
    </row>
    <row r="4">
      <c r="A4" s="6" t="s">
        <v>6</v>
      </c>
      <c r="B4" s="4" t="s">
        <v>7</v>
      </c>
      <c r="D4" s="5"/>
    </row>
    <row r="5">
      <c r="A5" s="6" t="s">
        <v>8</v>
      </c>
      <c r="B5" s="4" t="s">
        <v>9</v>
      </c>
      <c r="D5" s="5"/>
    </row>
    <row r="6">
      <c r="A6" s="6" t="s">
        <v>10</v>
      </c>
      <c r="B6" s="4" t="s">
        <v>11</v>
      </c>
      <c r="D6" s="5"/>
    </row>
    <row r="7">
      <c r="A7" s="6" t="s">
        <v>12</v>
      </c>
      <c r="B7" s="4" t="s">
        <v>5</v>
      </c>
      <c r="D7" s="5"/>
    </row>
    <row r="8">
      <c r="A8" s="6" t="s">
        <v>13</v>
      </c>
      <c r="B8" s="4" t="s">
        <v>14</v>
      </c>
      <c r="D8" s="5"/>
    </row>
    <row r="9">
      <c r="A9" s="6" t="s">
        <v>15</v>
      </c>
      <c r="B9" s="4" t="s">
        <v>5</v>
      </c>
      <c r="D9" s="5"/>
    </row>
    <row r="10">
      <c r="A10" s="6" t="s">
        <v>16</v>
      </c>
      <c r="B10" s="4" t="s">
        <v>5</v>
      </c>
      <c r="D10" s="5"/>
    </row>
    <row r="11">
      <c r="A11" s="6" t="s">
        <v>17</v>
      </c>
      <c r="B11" s="4" t="s">
        <v>18</v>
      </c>
      <c r="D11" s="5"/>
    </row>
    <row r="12">
      <c r="A12" s="6" t="s">
        <v>19</v>
      </c>
      <c r="B12" s="4" t="s">
        <v>20</v>
      </c>
      <c r="D12" s="5"/>
    </row>
    <row r="13">
      <c r="A13" s="6" t="s">
        <v>21</v>
      </c>
      <c r="B13" s="4" t="s">
        <v>22</v>
      </c>
      <c r="C13" s="4" t="s">
        <v>23</v>
      </c>
      <c r="D13" s="5"/>
    </row>
    <row r="14">
      <c r="A14" s="6" t="s">
        <v>24</v>
      </c>
      <c r="B14" s="4" t="s">
        <v>5</v>
      </c>
      <c r="D14" s="5"/>
    </row>
    <row r="15">
      <c r="A15" s="6" t="s">
        <v>25</v>
      </c>
      <c r="B15" s="4" t="s">
        <v>26</v>
      </c>
      <c r="C15" s="4" t="s">
        <v>27</v>
      </c>
      <c r="D15" s="5"/>
    </row>
    <row r="16">
      <c r="A16" s="6" t="s">
        <v>28</v>
      </c>
      <c r="B16" s="4" t="s">
        <v>14</v>
      </c>
      <c r="D16" s="5"/>
    </row>
    <row r="17">
      <c r="A17" s="6" t="s">
        <v>29</v>
      </c>
      <c r="B17" s="4" t="s">
        <v>5</v>
      </c>
      <c r="D17" s="5"/>
    </row>
    <row r="18">
      <c r="A18" s="6" t="s">
        <v>30</v>
      </c>
      <c r="B18" s="4" t="s">
        <v>31</v>
      </c>
      <c r="D18" s="5"/>
    </row>
    <row r="19">
      <c r="A19" s="6" t="s">
        <v>32</v>
      </c>
      <c r="B19" s="4" t="s">
        <v>20</v>
      </c>
      <c r="D19" s="5"/>
    </row>
    <row r="20">
      <c r="A20" s="6" t="s">
        <v>33</v>
      </c>
      <c r="B20" s="4" t="s">
        <v>34</v>
      </c>
      <c r="D20" s="5"/>
    </row>
    <row r="21">
      <c r="A21" s="6" t="s">
        <v>35</v>
      </c>
      <c r="B21" s="4" t="s">
        <v>20</v>
      </c>
      <c r="D21" s="5"/>
    </row>
    <row r="22">
      <c r="A22" s="6" t="s">
        <v>36</v>
      </c>
      <c r="B22" s="4" t="s">
        <v>5</v>
      </c>
      <c r="D22" s="5"/>
    </row>
    <row r="23">
      <c r="A23" s="6" t="s">
        <v>37</v>
      </c>
      <c r="B23" s="4" t="s">
        <v>9</v>
      </c>
      <c r="D23" s="5"/>
    </row>
    <row r="24">
      <c r="A24" s="6" t="s">
        <v>38</v>
      </c>
      <c r="B24" s="4" t="s">
        <v>20</v>
      </c>
      <c r="D24" s="5"/>
    </row>
    <row r="25">
      <c r="A25" s="6" t="s">
        <v>39</v>
      </c>
      <c r="B25" s="4" t="s">
        <v>20</v>
      </c>
      <c r="D25" s="5"/>
    </row>
    <row r="26">
      <c r="A26" s="6" t="s">
        <v>40</v>
      </c>
      <c r="B26" s="4" t="s">
        <v>5</v>
      </c>
      <c r="D26" s="5"/>
    </row>
    <row r="27">
      <c r="A27" s="6" t="s">
        <v>41</v>
      </c>
      <c r="B27" s="4" t="s">
        <v>5</v>
      </c>
      <c r="D27" s="5"/>
    </row>
    <row r="28">
      <c r="A28" s="6" t="s">
        <v>42</v>
      </c>
      <c r="B28" s="4" t="s">
        <v>43</v>
      </c>
      <c r="D28" s="5"/>
    </row>
    <row r="29">
      <c r="A29" s="6" t="s">
        <v>44</v>
      </c>
      <c r="B29" s="4" t="s">
        <v>45</v>
      </c>
      <c r="D29" s="5"/>
    </row>
    <row r="30">
      <c r="A30" s="6" t="s">
        <v>46</v>
      </c>
      <c r="B30" s="4" t="s">
        <v>45</v>
      </c>
      <c r="D30" s="5"/>
    </row>
    <row r="31">
      <c r="A31" s="6" t="s">
        <v>47</v>
      </c>
      <c r="B31" s="4" t="s">
        <v>45</v>
      </c>
      <c r="D31" s="5"/>
    </row>
    <row r="32">
      <c r="A32" s="6" t="s">
        <v>48</v>
      </c>
      <c r="B32" s="4" t="s">
        <v>5</v>
      </c>
      <c r="D32" s="5"/>
    </row>
    <row r="33">
      <c r="A33" s="6" t="s">
        <v>49</v>
      </c>
      <c r="B33" s="4" t="s">
        <v>20</v>
      </c>
      <c r="D33" s="5"/>
    </row>
    <row r="34">
      <c r="A34" s="6" t="s">
        <v>50</v>
      </c>
      <c r="B34" s="4" t="s">
        <v>51</v>
      </c>
      <c r="D34" s="5"/>
    </row>
    <row r="35">
      <c r="A35" s="6" t="s">
        <v>52</v>
      </c>
      <c r="B35" s="4" t="s">
        <v>53</v>
      </c>
      <c r="D35" s="5"/>
    </row>
    <row r="36">
      <c r="A36" s="6" t="s">
        <v>54</v>
      </c>
      <c r="B36" s="4" t="s">
        <v>14</v>
      </c>
      <c r="D36" s="5"/>
    </row>
    <row r="37">
      <c r="A37" s="6" t="s">
        <v>55</v>
      </c>
      <c r="B37" s="4" t="s">
        <v>20</v>
      </c>
      <c r="D37" s="5"/>
    </row>
    <row r="38">
      <c r="A38" s="6" t="s">
        <v>56</v>
      </c>
      <c r="B38" s="4" t="s">
        <v>20</v>
      </c>
      <c r="D38" s="5"/>
    </row>
    <row r="39">
      <c r="A39" s="6" t="s">
        <v>57</v>
      </c>
      <c r="B39" s="4" t="s">
        <v>20</v>
      </c>
      <c r="D39" s="5"/>
    </row>
    <row r="40">
      <c r="A40" s="6" t="s">
        <v>58</v>
      </c>
      <c r="B40" s="4" t="s">
        <v>20</v>
      </c>
      <c r="D40" s="5"/>
    </row>
    <row r="41">
      <c r="A41" s="6" t="s">
        <v>59</v>
      </c>
      <c r="B41" s="4" t="s">
        <v>5</v>
      </c>
      <c r="D41" s="5"/>
    </row>
    <row r="42">
      <c r="A42" s="6" t="s">
        <v>60</v>
      </c>
      <c r="B42" s="4" t="s">
        <v>31</v>
      </c>
      <c r="D42" s="5"/>
    </row>
    <row r="43">
      <c r="A43" s="6" t="s">
        <v>61</v>
      </c>
      <c r="B43" s="4" t="s">
        <v>27</v>
      </c>
      <c r="D43" s="5"/>
    </row>
    <row r="44">
      <c r="A44" s="6" t="s">
        <v>62</v>
      </c>
      <c r="B44" s="4" t="s">
        <v>63</v>
      </c>
      <c r="D44" s="5"/>
    </row>
    <row r="45">
      <c r="A45" s="6" t="s">
        <v>64</v>
      </c>
      <c r="B45" s="4" t="s">
        <v>7</v>
      </c>
      <c r="D45" s="5"/>
    </row>
    <row r="46">
      <c r="A46" s="6" t="s">
        <v>65</v>
      </c>
      <c r="B46" s="4" t="s">
        <v>5</v>
      </c>
      <c r="D46" s="5"/>
    </row>
    <row r="47">
      <c r="A47" s="6" t="s">
        <v>66</v>
      </c>
      <c r="B47" s="4" t="s">
        <v>27</v>
      </c>
      <c r="D47" s="5"/>
    </row>
    <row r="48">
      <c r="A48" s="6" t="s">
        <v>67</v>
      </c>
      <c r="B48" s="4" t="s">
        <v>34</v>
      </c>
      <c r="D48" s="5"/>
    </row>
    <row r="49">
      <c r="A49" s="6" t="s">
        <v>68</v>
      </c>
      <c r="B49" s="4" t="s">
        <v>20</v>
      </c>
      <c r="D49" s="5"/>
    </row>
    <row r="50">
      <c r="A50" s="3" t="s">
        <v>69</v>
      </c>
      <c r="B50" s="4" t="s">
        <v>70</v>
      </c>
      <c r="D50" s="5"/>
    </row>
    <row r="51">
      <c r="A51" s="6" t="s">
        <v>71</v>
      </c>
      <c r="B51" s="4" t="s">
        <v>23</v>
      </c>
      <c r="D51" s="5"/>
    </row>
    <row r="52">
      <c r="A52" s="6" t="s">
        <v>72</v>
      </c>
      <c r="B52" s="4" t="s">
        <v>20</v>
      </c>
      <c r="D52" s="5"/>
    </row>
    <row r="53">
      <c r="A53" s="6" t="s">
        <v>73</v>
      </c>
      <c r="B53" s="4" t="s">
        <v>7</v>
      </c>
      <c r="D53" s="5"/>
    </row>
    <row r="54">
      <c r="A54" s="6" t="s">
        <v>74</v>
      </c>
      <c r="B54" s="4" t="s">
        <v>75</v>
      </c>
      <c r="D54" s="5"/>
    </row>
    <row r="55">
      <c r="A55" s="6" t="s">
        <v>76</v>
      </c>
      <c r="B55" s="4" t="s">
        <v>14</v>
      </c>
      <c r="D55" s="5"/>
    </row>
    <row r="56">
      <c r="A56" s="6" t="s">
        <v>77</v>
      </c>
      <c r="B56" s="4" t="s">
        <v>20</v>
      </c>
      <c r="D56" s="5"/>
    </row>
    <row r="57">
      <c r="A57" s="6" t="s">
        <v>78</v>
      </c>
      <c r="B57" s="4" t="s">
        <v>9</v>
      </c>
      <c r="D57" s="5"/>
    </row>
    <row r="58">
      <c r="A58" s="6" t="s">
        <v>79</v>
      </c>
      <c r="B58" s="4" t="s">
        <v>53</v>
      </c>
      <c r="D58" s="5"/>
    </row>
    <row r="59">
      <c r="A59" s="6" t="s">
        <v>80</v>
      </c>
      <c r="B59" s="4" t="s">
        <v>20</v>
      </c>
      <c r="D59" s="5"/>
    </row>
    <row r="60">
      <c r="A60" s="6" t="s">
        <v>81</v>
      </c>
      <c r="B60" s="4" t="s">
        <v>20</v>
      </c>
      <c r="D60" s="5"/>
    </row>
    <row r="61">
      <c r="A61" s="6" t="s">
        <v>82</v>
      </c>
      <c r="B61" s="4" t="s">
        <v>75</v>
      </c>
      <c r="D61" s="5"/>
    </row>
    <row r="62">
      <c r="A62" s="6" t="s">
        <v>83</v>
      </c>
      <c r="B62" s="4" t="s">
        <v>45</v>
      </c>
      <c r="D62" s="5"/>
    </row>
    <row r="63">
      <c r="A63" s="6" t="s">
        <v>84</v>
      </c>
      <c r="B63" s="4" t="s">
        <v>85</v>
      </c>
      <c r="D63" s="5"/>
    </row>
    <row r="64">
      <c r="A64" s="6" t="s">
        <v>86</v>
      </c>
      <c r="B64" s="4" t="s">
        <v>20</v>
      </c>
      <c r="D64" s="5"/>
    </row>
    <row r="65">
      <c r="A65" s="6" t="s">
        <v>87</v>
      </c>
      <c r="B65" s="4" t="s">
        <v>7</v>
      </c>
      <c r="D65" s="5"/>
    </row>
    <row r="66">
      <c r="A66" s="6" t="s">
        <v>88</v>
      </c>
      <c r="B66" s="4" t="s">
        <v>26</v>
      </c>
      <c r="D66" s="5"/>
    </row>
    <row r="67">
      <c r="A67" s="6" t="s">
        <v>89</v>
      </c>
      <c r="B67" s="4" t="s">
        <v>20</v>
      </c>
      <c r="D67" s="5"/>
    </row>
    <row r="68">
      <c r="A68" s="6" t="s">
        <v>90</v>
      </c>
      <c r="B68" s="4" t="s">
        <v>91</v>
      </c>
      <c r="D68" s="5"/>
    </row>
    <row r="69">
      <c r="A69" s="6" t="s">
        <v>92</v>
      </c>
      <c r="B69" s="4" t="s">
        <v>5</v>
      </c>
      <c r="D69" s="5"/>
    </row>
    <row r="70">
      <c r="A70" s="6" t="s">
        <v>93</v>
      </c>
      <c r="B70" s="4" t="s">
        <v>94</v>
      </c>
      <c r="D70" s="5"/>
    </row>
    <row r="71">
      <c r="A71" s="6" t="s">
        <v>95</v>
      </c>
      <c r="B71" s="4" t="s">
        <v>5</v>
      </c>
      <c r="D71" s="5"/>
    </row>
    <row r="72">
      <c r="A72" s="6" t="s">
        <v>96</v>
      </c>
      <c r="B72" s="4" t="s">
        <v>97</v>
      </c>
      <c r="D72" s="5"/>
    </row>
    <row r="73">
      <c r="A73" s="6" t="s">
        <v>98</v>
      </c>
      <c r="B73" s="4" t="s">
        <v>5</v>
      </c>
      <c r="D73" s="5"/>
    </row>
    <row r="74">
      <c r="A74" s="6" t="s">
        <v>99</v>
      </c>
      <c r="B74" s="4" t="s">
        <v>26</v>
      </c>
      <c r="D74" s="5"/>
    </row>
    <row r="75">
      <c r="A75" s="6" t="s">
        <v>100</v>
      </c>
      <c r="B75" s="4" t="s">
        <v>70</v>
      </c>
      <c r="D75" s="5"/>
    </row>
    <row r="76">
      <c r="A76" s="6" t="s">
        <v>101</v>
      </c>
      <c r="B76" s="4" t="s">
        <v>5</v>
      </c>
      <c r="D76" s="5"/>
    </row>
    <row r="77">
      <c r="A77" s="6" t="s">
        <v>102</v>
      </c>
      <c r="B77" s="4" t="s">
        <v>51</v>
      </c>
      <c r="D77" s="5"/>
    </row>
    <row r="78">
      <c r="A78" s="6" t="s">
        <v>103</v>
      </c>
      <c r="B78" s="4" t="s">
        <v>43</v>
      </c>
      <c r="D78" s="5"/>
    </row>
    <row r="79">
      <c r="A79" s="6" t="s">
        <v>104</v>
      </c>
      <c r="B79" s="4" t="s">
        <v>14</v>
      </c>
      <c r="D79" s="5"/>
    </row>
    <row r="80">
      <c r="A80" s="6" t="s">
        <v>105</v>
      </c>
      <c r="B80" s="4" t="s">
        <v>26</v>
      </c>
      <c r="D80" s="5"/>
    </row>
    <row r="81">
      <c r="A81" s="6" t="s">
        <v>106</v>
      </c>
      <c r="B81" s="4" t="s">
        <v>23</v>
      </c>
      <c r="D81" s="5"/>
    </row>
    <row r="82">
      <c r="A82" s="6" t="s">
        <v>107</v>
      </c>
      <c r="B82" s="4" t="s">
        <v>14</v>
      </c>
      <c r="D82" s="5"/>
    </row>
    <row r="83">
      <c r="A83" s="6" t="s">
        <v>108</v>
      </c>
      <c r="B83" s="4" t="s">
        <v>7</v>
      </c>
      <c r="D83" s="5"/>
    </row>
    <row r="84">
      <c r="A84" s="6" t="s">
        <v>109</v>
      </c>
      <c r="B84" s="4" t="s">
        <v>14</v>
      </c>
      <c r="D84" s="5"/>
    </row>
    <row r="85">
      <c r="A85" s="6" t="s">
        <v>110</v>
      </c>
      <c r="B85" s="4" t="s">
        <v>14</v>
      </c>
      <c r="D85" s="5"/>
    </row>
    <row r="86">
      <c r="A86" s="6" t="s">
        <v>111</v>
      </c>
      <c r="B86" s="4" t="s">
        <v>31</v>
      </c>
      <c r="D86" s="5"/>
    </row>
    <row r="87">
      <c r="A87" s="6" t="s">
        <v>112</v>
      </c>
      <c r="B87" s="4" t="s">
        <v>14</v>
      </c>
      <c r="D87" s="5"/>
    </row>
    <row r="88">
      <c r="A88" s="6" t="s">
        <v>113</v>
      </c>
      <c r="B88" s="4" t="s">
        <v>5</v>
      </c>
      <c r="D88" s="5"/>
    </row>
    <row r="89">
      <c r="A89" s="6" t="s">
        <v>114</v>
      </c>
      <c r="B89" s="4" t="s">
        <v>45</v>
      </c>
      <c r="D89" s="5"/>
    </row>
    <row r="90">
      <c r="A90" s="6" t="s">
        <v>115</v>
      </c>
      <c r="B90" s="4" t="s">
        <v>85</v>
      </c>
      <c r="D90" s="5"/>
    </row>
    <row r="91">
      <c r="A91" s="6" t="s">
        <v>116</v>
      </c>
      <c r="B91" s="4" t="s">
        <v>9</v>
      </c>
      <c r="D91" s="5"/>
    </row>
    <row r="92">
      <c r="A92" s="6" t="s">
        <v>117</v>
      </c>
      <c r="B92" s="4" t="s">
        <v>20</v>
      </c>
      <c r="D92" s="5"/>
    </row>
    <row r="93">
      <c r="A93" s="6" t="s">
        <v>118</v>
      </c>
      <c r="B93" s="4" t="s">
        <v>20</v>
      </c>
      <c r="D93" s="5"/>
    </row>
    <row r="94">
      <c r="A94" s="6" t="s">
        <v>119</v>
      </c>
      <c r="B94" s="4" t="s">
        <v>14</v>
      </c>
      <c r="D94" s="5"/>
    </row>
    <row r="95">
      <c r="A95" s="6" t="s">
        <v>120</v>
      </c>
      <c r="B95" s="4" t="s">
        <v>121</v>
      </c>
      <c r="C95" s="4" t="s">
        <v>26</v>
      </c>
      <c r="D95" s="5"/>
    </row>
    <row r="96">
      <c r="A96" s="6" t="s">
        <v>122</v>
      </c>
      <c r="B96" s="4" t="s">
        <v>7</v>
      </c>
      <c r="D96" s="5"/>
    </row>
    <row r="97">
      <c r="A97" s="6" t="s">
        <v>123</v>
      </c>
      <c r="B97" s="4" t="s">
        <v>22</v>
      </c>
      <c r="D97" s="5"/>
    </row>
    <row r="98">
      <c r="A98" s="6" t="s">
        <v>124</v>
      </c>
      <c r="B98" s="4" t="s">
        <v>5</v>
      </c>
      <c r="D98" s="5"/>
    </row>
    <row r="99">
      <c r="A99" s="6" t="s">
        <v>125</v>
      </c>
      <c r="B99" s="4" t="s">
        <v>5</v>
      </c>
      <c r="D99" s="5"/>
    </row>
    <row r="100">
      <c r="A100" s="6" t="s">
        <v>126</v>
      </c>
      <c r="B100" s="4" t="s">
        <v>7</v>
      </c>
      <c r="D100" s="5"/>
    </row>
    <row r="101">
      <c r="A101" s="6" t="s">
        <v>127</v>
      </c>
      <c r="B101" s="4" t="s">
        <v>45</v>
      </c>
      <c r="D101" s="5"/>
    </row>
    <row r="102">
      <c r="A102" s="6" t="s">
        <v>128</v>
      </c>
      <c r="B102" s="4" t="s">
        <v>3</v>
      </c>
      <c r="D102" s="5"/>
    </row>
    <row r="103">
      <c r="A103" s="6" t="s">
        <v>129</v>
      </c>
      <c r="B103" s="4" t="s">
        <v>130</v>
      </c>
      <c r="D103" s="5"/>
    </row>
    <row r="104">
      <c r="A104" s="6" t="s">
        <v>131</v>
      </c>
      <c r="B104" s="4" t="s">
        <v>91</v>
      </c>
      <c r="D104" s="5"/>
    </row>
    <row r="105">
      <c r="A105" s="6" t="s">
        <v>132</v>
      </c>
      <c r="B105" s="4" t="s">
        <v>5</v>
      </c>
      <c r="D105" s="5"/>
    </row>
    <row r="106">
      <c r="A106" s="6" t="s">
        <v>133</v>
      </c>
      <c r="B106" s="4" t="s">
        <v>134</v>
      </c>
      <c r="D106" s="5"/>
    </row>
    <row r="107">
      <c r="A107" s="6" t="s">
        <v>135</v>
      </c>
      <c r="B107" s="4" t="s">
        <v>5</v>
      </c>
      <c r="D107" s="5"/>
    </row>
    <row r="108">
      <c r="A108" s="6" t="s">
        <v>136</v>
      </c>
      <c r="B108" s="4" t="s">
        <v>94</v>
      </c>
      <c r="D108" s="5"/>
    </row>
    <row r="109">
      <c r="A109" s="6" t="s">
        <v>137</v>
      </c>
      <c r="B109" s="4" t="s">
        <v>91</v>
      </c>
      <c r="D109" s="5"/>
    </row>
    <row r="110">
      <c r="A110" s="6" t="s">
        <v>138</v>
      </c>
      <c r="B110" s="4" t="s">
        <v>45</v>
      </c>
      <c r="D110" s="5"/>
    </row>
    <row r="111">
      <c r="A111" s="6" t="s">
        <v>139</v>
      </c>
      <c r="B111" s="4" t="s">
        <v>14</v>
      </c>
      <c r="D111" s="5"/>
    </row>
    <row r="112">
      <c r="A112" s="6" t="s">
        <v>140</v>
      </c>
      <c r="B112" s="4" t="s">
        <v>130</v>
      </c>
      <c r="D112" s="5"/>
    </row>
    <row r="113">
      <c r="A113" s="6" t="s">
        <v>141</v>
      </c>
      <c r="B113" s="4" t="s">
        <v>20</v>
      </c>
      <c r="D113" s="5"/>
    </row>
    <row r="114">
      <c r="A114" s="6" t="s">
        <v>142</v>
      </c>
      <c r="B114" s="4" t="s">
        <v>14</v>
      </c>
      <c r="D114" s="5"/>
    </row>
    <row r="115">
      <c r="A115" s="6" t="s">
        <v>143</v>
      </c>
      <c r="B115" s="4" t="s">
        <v>20</v>
      </c>
      <c r="D115" s="5"/>
    </row>
    <row r="116">
      <c r="A116" s="6" t="s">
        <v>144</v>
      </c>
      <c r="B116" s="4" t="s">
        <v>130</v>
      </c>
      <c r="D116" s="5"/>
    </row>
    <row r="117">
      <c r="A117" s="6" t="s">
        <v>145</v>
      </c>
      <c r="B117" s="4" t="s">
        <v>43</v>
      </c>
      <c r="D117" s="5"/>
    </row>
    <row r="118">
      <c r="A118" s="6" t="s">
        <v>146</v>
      </c>
      <c r="B118" s="4" t="s">
        <v>70</v>
      </c>
      <c r="D118" s="5"/>
    </row>
    <row r="119">
      <c r="A119" s="6" t="s">
        <v>147</v>
      </c>
      <c r="B119" s="4" t="s">
        <v>148</v>
      </c>
      <c r="D119" s="5"/>
    </row>
    <row r="120">
      <c r="A120" s="6" t="s">
        <v>149</v>
      </c>
      <c r="B120" s="4" t="s">
        <v>63</v>
      </c>
      <c r="C120" s="4" t="s">
        <v>14</v>
      </c>
      <c r="D120" s="5"/>
    </row>
    <row r="121">
      <c r="A121" s="6" t="s">
        <v>150</v>
      </c>
      <c r="B121" s="4" t="s">
        <v>27</v>
      </c>
      <c r="C121" s="4"/>
      <c r="D121" s="5"/>
    </row>
    <row r="122">
      <c r="A122" s="6" t="s">
        <v>151</v>
      </c>
      <c r="B122" s="4" t="s">
        <v>45</v>
      </c>
      <c r="D122" s="5"/>
    </row>
    <row r="123">
      <c r="A123" s="6" t="s">
        <v>152</v>
      </c>
      <c r="B123" s="4" t="s">
        <v>153</v>
      </c>
      <c r="D123" s="5"/>
    </row>
    <row r="124">
      <c r="A124" s="6" t="s">
        <v>154</v>
      </c>
      <c r="B124" s="4" t="s">
        <v>20</v>
      </c>
      <c r="D124" s="5"/>
    </row>
    <row r="125">
      <c r="A125" s="6" t="s">
        <v>155</v>
      </c>
      <c r="B125" s="4" t="s">
        <v>9</v>
      </c>
      <c r="D125" s="5"/>
    </row>
    <row r="126">
      <c r="A126" s="6" t="s">
        <v>156</v>
      </c>
      <c r="B126" s="4" t="s">
        <v>14</v>
      </c>
      <c r="D126" s="5"/>
    </row>
    <row r="127">
      <c r="A127" s="6" t="s">
        <v>157</v>
      </c>
      <c r="B127" s="4" t="s">
        <v>20</v>
      </c>
      <c r="D127" s="5"/>
    </row>
    <row r="128">
      <c r="A128" s="6" t="s">
        <v>158</v>
      </c>
      <c r="B128" s="4" t="s">
        <v>9</v>
      </c>
      <c r="D128" s="5"/>
    </row>
    <row r="129">
      <c r="A129" s="6" t="s">
        <v>159</v>
      </c>
      <c r="B129" s="4" t="s">
        <v>160</v>
      </c>
      <c r="D129" s="5"/>
    </row>
    <row r="130">
      <c r="A130" s="6" t="s">
        <v>161</v>
      </c>
      <c r="B130" s="4" t="s">
        <v>45</v>
      </c>
      <c r="D130" s="5"/>
    </row>
    <row r="131">
      <c r="A131" s="6" t="s">
        <v>162</v>
      </c>
      <c r="B131" s="4" t="s">
        <v>63</v>
      </c>
      <c r="D131" s="5"/>
    </row>
    <row r="132">
      <c r="A132" s="6" t="s">
        <v>163</v>
      </c>
      <c r="B132" s="4" t="s">
        <v>45</v>
      </c>
      <c r="D132" s="5"/>
    </row>
    <row r="133">
      <c r="A133" s="6" t="s">
        <v>164</v>
      </c>
      <c r="B133" s="4" t="s">
        <v>45</v>
      </c>
      <c r="D133" s="5"/>
    </row>
    <row r="134">
      <c r="A134" s="6" t="s">
        <v>165</v>
      </c>
      <c r="B134" s="4" t="s">
        <v>5</v>
      </c>
      <c r="D134" s="5"/>
    </row>
    <row r="135">
      <c r="A135" s="6" t="s">
        <v>166</v>
      </c>
      <c r="B135" s="4" t="s">
        <v>63</v>
      </c>
      <c r="D135" s="5"/>
    </row>
    <row r="136">
      <c r="A136" s="6" t="s">
        <v>167</v>
      </c>
      <c r="B136" s="4" t="s">
        <v>20</v>
      </c>
      <c r="D136" s="5"/>
    </row>
    <row r="137">
      <c r="A137" s="6" t="s">
        <v>168</v>
      </c>
      <c r="B137" s="4" t="s">
        <v>51</v>
      </c>
      <c r="D137" s="5"/>
    </row>
    <row r="138">
      <c r="A138" s="6" t="s">
        <v>169</v>
      </c>
      <c r="B138" s="4" t="s">
        <v>51</v>
      </c>
      <c r="D138" s="5"/>
    </row>
    <row r="139">
      <c r="A139" s="6" t="s">
        <v>170</v>
      </c>
      <c r="B139" s="4" t="s">
        <v>34</v>
      </c>
      <c r="D139" s="5"/>
    </row>
    <row r="140">
      <c r="A140" s="6" t="s">
        <v>171</v>
      </c>
      <c r="B140" s="4" t="s">
        <v>5</v>
      </c>
      <c r="D140" s="5"/>
    </row>
    <row r="141">
      <c r="A141" s="6" t="s">
        <v>172</v>
      </c>
      <c r="B141" s="4" t="s">
        <v>5</v>
      </c>
      <c r="D141" s="5"/>
    </row>
    <row r="142">
      <c r="A142" s="6" t="s">
        <v>173</v>
      </c>
      <c r="B142" s="4" t="s">
        <v>14</v>
      </c>
      <c r="D142" s="5"/>
    </row>
    <row r="143">
      <c r="A143" s="6" t="s">
        <v>174</v>
      </c>
      <c r="B143" s="4" t="s">
        <v>20</v>
      </c>
      <c r="D143" s="5"/>
    </row>
    <row r="144">
      <c r="A144" s="6" t="s">
        <v>175</v>
      </c>
      <c r="B144" s="4" t="s">
        <v>31</v>
      </c>
      <c r="D144" s="5"/>
    </row>
    <row r="145">
      <c r="A145" s="6" t="s">
        <v>176</v>
      </c>
      <c r="B145" s="4" t="s">
        <v>91</v>
      </c>
      <c r="D145" s="5"/>
    </row>
    <row r="146">
      <c r="A146" s="6" t="s">
        <v>177</v>
      </c>
      <c r="B146" s="4" t="s">
        <v>130</v>
      </c>
      <c r="D146" s="5"/>
    </row>
    <row r="147">
      <c r="A147" s="6" t="s">
        <v>178</v>
      </c>
      <c r="B147" s="4" t="s">
        <v>179</v>
      </c>
      <c r="D147" s="5"/>
    </row>
    <row r="148">
      <c r="A148" s="6" t="s">
        <v>180</v>
      </c>
      <c r="B148" s="4" t="s">
        <v>14</v>
      </c>
      <c r="D148" s="5"/>
    </row>
    <row r="149">
      <c r="A149" s="6" t="s">
        <v>181</v>
      </c>
      <c r="B149" s="4" t="s">
        <v>20</v>
      </c>
      <c r="D149" s="5"/>
    </row>
    <row r="150">
      <c r="A150" s="6" t="s">
        <v>182</v>
      </c>
      <c r="B150" s="4" t="s">
        <v>20</v>
      </c>
      <c r="D150" s="5"/>
    </row>
    <row r="151">
      <c r="A151" s="6" t="s">
        <v>183</v>
      </c>
      <c r="B151" s="4" t="s">
        <v>9</v>
      </c>
      <c r="D151" s="5"/>
    </row>
    <row r="152">
      <c r="A152" s="6" t="s">
        <v>184</v>
      </c>
      <c r="B152" s="4" t="s">
        <v>5</v>
      </c>
      <c r="D152" s="5"/>
    </row>
    <row r="153">
      <c r="A153" s="6" t="s">
        <v>185</v>
      </c>
      <c r="B153" s="4" t="s">
        <v>51</v>
      </c>
      <c r="D153" s="5"/>
    </row>
    <row r="154">
      <c r="A154" s="6" t="s">
        <v>186</v>
      </c>
      <c r="B154" s="4" t="s">
        <v>7</v>
      </c>
      <c r="C154" s="4" t="s">
        <v>130</v>
      </c>
      <c r="D154" s="5"/>
    </row>
    <row r="155">
      <c r="A155" s="6" t="s">
        <v>187</v>
      </c>
      <c r="B155" s="4" t="s">
        <v>23</v>
      </c>
      <c r="C155" s="4" t="s">
        <v>34</v>
      </c>
      <c r="D155" s="5"/>
    </row>
    <row r="156">
      <c r="A156" s="6" t="s">
        <v>188</v>
      </c>
      <c r="B156" s="4" t="s">
        <v>14</v>
      </c>
      <c r="C156" s="4" t="s">
        <v>27</v>
      </c>
      <c r="D156" s="5"/>
    </row>
    <row r="157">
      <c r="A157" s="6" t="s">
        <v>189</v>
      </c>
      <c r="B157" s="4" t="s">
        <v>91</v>
      </c>
      <c r="D157" s="5"/>
    </row>
    <row r="158">
      <c r="A158" s="6" t="s">
        <v>190</v>
      </c>
      <c r="B158" s="4" t="s">
        <v>20</v>
      </c>
      <c r="D158" s="5"/>
    </row>
    <row r="159">
      <c r="A159" s="6" t="s">
        <v>191</v>
      </c>
      <c r="B159" s="4" t="s">
        <v>20</v>
      </c>
      <c r="D159" s="5"/>
    </row>
    <row r="160">
      <c r="A160" s="6" t="s">
        <v>192</v>
      </c>
      <c r="B160" s="4" t="s">
        <v>14</v>
      </c>
      <c r="D160" s="5"/>
    </row>
    <row r="161">
      <c r="A161" s="6" t="s">
        <v>193</v>
      </c>
      <c r="B161" s="4" t="s">
        <v>20</v>
      </c>
      <c r="D161" s="5"/>
    </row>
    <row r="162">
      <c r="A162" s="6" t="s">
        <v>194</v>
      </c>
      <c r="B162" s="4" t="s">
        <v>195</v>
      </c>
      <c r="D162" s="5"/>
    </row>
    <row r="163">
      <c r="A163" s="6" t="s">
        <v>196</v>
      </c>
      <c r="B163" s="4" t="s">
        <v>14</v>
      </c>
      <c r="C163" s="4" t="s">
        <v>197</v>
      </c>
      <c r="D163" s="5"/>
    </row>
    <row r="164">
      <c r="A164" s="6" t="s">
        <v>198</v>
      </c>
      <c r="B164" s="4" t="s">
        <v>14</v>
      </c>
      <c r="D164" s="5"/>
    </row>
    <row r="165">
      <c r="A165" s="6" t="s">
        <v>199</v>
      </c>
      <c r="B165" s="4" t="s">
        <v>179</v>
      </c>
      <c r="D165" s="5"/>
    </row>
    <row r="166">
      <c r="A166" s="6" t="s">
        <v>200</v>
      </c>
      <c r="B166" s="4" t="s">
        <v>5</v>
      </c>
      <c r="D166" s="5"/>
    </row>
    <row r="167">
      <c r="A167" s="6" t="s">
        <v>201</v>
      </c>
      <c r="B167" s="4" t="s">
        <v>14</v>
      </c>
      <c r="C167" s="4" t="s">
        <v>197</v>
      </c>
      <c r="D167" s="5"/>
    </row>
    <row r="168">
      <c r="A168" s="6" t="s">
        <v>202</v>
      </c>
      <c r="B168" s="4" t="s">
        <v>9</v>
      </c>
      <c r="D168" s="5"/>
    </row>
    <row r="169">
      <c r="A169" s="6" t="s">
        <v>203</v>
      </c>
      <c r="B169" s="4" t="s">
        <v>5</v>
      </c>
      <c r="D169" s="5"/>
    </row>
    <row r="170">
      <c r="A170" s="6" t="s">
        <v>204</v>
      </c>
      <c r="B170" s="4" t="s">
        <v>20</v>
      </c>
      <c r="D170" s="5"/>
    </row>
    <row r="171">
      <c r="A171" s="6" t="s">
        <v>205</v>
      </c>
      <c r="B171" s="4" t="s">
        <v>5</v>
      </c>
      <c r="D171" s="5"/>
    </row>
    <row r="172">
      <c r="A172" s="6" t="s">
        <v>206</v>
      </c>
      <c r="B172" s="4" t="s">
        <v>27</v>
      </c>
      <c r="D172" s="5"/>
    </row>
    <row r="173">
      <c r="A173" s="6" t="s">
        <v>207</v>
      </c>
      <c r="B173" s="4" t="s">
        <v>5</v>
      </c>
      <c r="D173" s="5"/>
    </row>
    <row r="174">
      <c r="A174" s="6" t="s">
        <v>208</v>
      </c>
      <c r="B174" s="4" t="s">
        <v>14</v>
      </c>
      <c r="D174" s="5"/>
    </row>
    <row r="175">
      <c r="A175" s="6" t="s">
        <v>209</v>
      </c>
      <c r="B175" s="4" t="s">
        <v>20</v>
      </c>
      <c r="D175" s="5"/>
    </row>
    <row r="176">
      <c r="A176" s="6" t="s">
        <v>210</v>
      </c>
      <c r="B176" s="4" t="s">
        <v>85</v>
      </c>
      <c r="D176" s="5"/>
    </row>
    <row r="177">
      <c r="A177" s="6" t="s">
        <v>211</v>
      </c>
      <c r="B177" s="4" t="s">
        <v>91</v>
      </c>
      <c r="D177" s="5"/>
    </row>
    <row r="178">
      <c r="A178" s="6" t="s">
        <v>212</v>
      </c>
      <c r="B178" s="4" t="s">
        <v>63</v>
      </c>
      <c r="D178" s="5"/>
    </row>
    <row r="179">
      <c r="A179" s="6" t="s">
        <v>213</v>
      </c>
      <c r="B179" s="4" t="s">
        <v>51</v>
      </c>
      <c r="D179" s="5"/>
    </row>
    <row r="180">
      <c r="A180" s="6" t="s">
        <v>214</v>
      </c>
      <c r="B180" s="4" t="s">
        <v>34</v>
      </c>
      <c r="D180" s="5"/>
    </row>
    <row r="181">
      <c r="A181" s="6" t="s">
        <v>215</v>
      </c>
      <c r="B181" s="4" t="s">
        <v>5</v>
      </c>
      <c r="D181" s="5"/>
    </row>
    <row r="182">
      <c r="A182" s="6" t="s">
        <v>216</v>
      </c>
      <c r="B182" s="4" t="s">
        <v>130</v>
      </c>
      <c r="D182" s="5"/>
    </row>
    <row r="183">
      <c r="A183" s="6" t="s">
        <v>217</v>
      </c>
      <c r="B183" s="4" t="s">
        <v>5</v>
      </c>
      <c r="D183" s="5"/>
    </row>
    <row r="184">
      <c r="A184" s="6" t="s">
        <v>218</v>
      </c>
      <c r="B184" s="4" t="s">
        <v>14</v>
      </c>
      <c r="D184" s="5"/>
    </row>
    <row r="185">
      <c r="A185" s="6" t="s">
        <v>219</v>
      </c>
      <c r="B185" s="4" t="s">
        <v>14</v>
      </c>
      <c r="C185" s="4" t="s">
        <v>18</v>
      </c>
      <c r="D185" s="5"/>
    </row>
    <row r="186">
      <c r="A186" s="6" t="s">
        <v>220</v>
      </c>
      <c r="B186" s="4" t="s">
        <v>9</v>
      </c>
      <c r="D186" s="5"/>
    </row>
    <row r="187">
      <c r="A187" s="6" t="s">
        <v>221</v>
      </c>
      <c r="B187" s="4" t="s">
        <v>9</v>
      </c>
      <c r="D187" s="5"/>
    </row>
    <row r="188">
      <c r="A188" s="6" t="s">
        <v>222</v>
      </c>
      <c r="B188" s="4" t="s">
        <v>9</v>
      </c>
      <c r="D188" s="5"/>
    </row>
    <row r="189">
      <c r="A189" s="6" t="s">
        <v>223</v>
      </c>
      <c r="B189" s="4" t="s">
        <v>9</v>
      </c>
      <c r="D189" s="5"/>
    </row>
    <row r="190">
      <c r="A190" s="6" t="s">
        <v>224</v>
      </c>
      <c r="B190" s="4" t="s">
        <v>20</v>
      </c>
      <c r="D190" s="5"/>
    </row>
    <row r="191">
      <c r="A191" s="6" t="s">
        <v>225</v>
      </c>
      <c r="B191" s="4" t="s">
        <v>121</v>
      </c>
      <c r="D191" s="5"/>
    </row>
    <row r="192">
      <c r="A192" s="6" t="s">
        <v>226</v>
      </c>
      <c r="B192" s="4" t="s">
        <v>51</v>
      </c>
      <c r="D192" s="5"/>
    </row>
    <row r="193">
      <c r="A193" s="6" t="s">
        <v>227</v>
      </c>
      <c r="B193" s="4" t="s">
        <v>20</v>
      </c>
      <c r="D193" s="5"/>
    </row>
    <row r="194">
      <c r="A194" s="6" t="s">
        <v>228</v>
      </c>
      <c r="B194" s="4" t="s">
        <v>51</v>
      </c>
      <c r="D194" s="5"/>
    </row>
    <row r="195">
      <c r="A195" s="6" t="s">
        <v>229</v>
      </c>
      <c r="B195" s="4" t="s">
        <v>9</v>
      </c>
      <c r="D195" s="5"/>
    </row>
    <row r="196">
      <c r="A196" s="6" t="s">
        <v>230</v>
      </c>
      <c r="B196" s="4" t="s">
        <v>5</v>
      </c>
      <c r="D196" s="5"/>
    </row>
    <row r="197">
      <c r="A197" s="6" t="s">
        <v>231</v>
      </c>
      <c r="B197" s="4" t="s">
        <v>14</v>
      </c>
      <c r="D197" s="5"/>
    </row>
    <row r="198">
      <c r="A198" s="6" t="s">
        <v>232</v>
      </c>
      <c r="B198" s="4" t="s">
        <v>20</v>
      </c>
      <c r="D198" s="5"/>
    </row>
    <row r="199">
      <c r="A199" s="6" t="s">
        <v>233</v>
      </c>
      <c r="B199" s="4" t="s">
        <v>14</v>
      </c>
      <c r="C199" s="4" t="s">
        <v>197</v>
      </c>
      <c r="D199" s="5"/>
    </row>
    <row r="200">
      <c r="A200" s="6" t="s">
        <v>234</v>
      </c>
      <c r="B200" s="4" t="s">
        <v>23</v>
      </c>
      <c r="D200" s="5"/>
    </row>
    <row r="201">
      <c r="A201" s="6" t="s">
        <v>235</v>
      </c>
      <c r="B201" s="4" t="s">
        <v>5</v>
      </c>
      <c r="D201" s="5"/>
    </row>
    <row r="202">
      <c r="A202" s="6" t="s">
        <v>236</v>
      </c>
      <c r="B202" s="4" t="s">
        <v>31</v>
      </c>
      <c r="D202" s="5"/>
    </row>
    <row r="203">
      <c r="A203" s="6" t="s">
        <v>237</v>
      </c>
      <c r="B203" s="4" t="s">
        <v>5</v>
      </c>
      <c r="D203" s="5"/>
    </row>
    <row r="204">
      <c r="A204" s="6" t="s">
        <v>238</v>
      </c>
      <c r="B204" s="4" t="s">
        <v>239</v>
      </c>
      <c r="D204" s="5"/>
    </row>
    <row r="205">
      <c r="A205" s="6" t="s">
        <v>240</v>
      </c>
      <c r="B205" s="4" t="s">
        <v>31</v>
      </c>
      <c r="D205" s="5"/>
    </row>
    <row r="206">
      <c r="A206" s="6" t="s">
        <v>241</v>
      </c>
      <c r="B206" s="4" t="s">
        <v>5</v>
      </c>
      <c r="D206" s="5"/>
    </row>
    <row r="207">
      <c r="A207" s="6" t="s">
        <v>242</v>
      </c>
      <c r="B207" s="4" t="s">
        <v>20</v>
      </c>
      <c r="D207" s="5"/>
    </row>
    <row r="208">
      <c r="A208" s="6" t="s">
        <v>243</v>
      </c>
      <c r="B208" s="4" t="s">
        <v>5</v>
      </c>
      <c r="D208" s="5"/>
    </row>
    <row r="209">
      <c r="A209" s="6" t="s">
        <v>244</v>
      </c>
      <c r="B209" s="4" t="s">
        <v>51</v>
      </c>
      <c r="D209" s="5"/>
    </row>
    <row r="210">
      <c r="A210" s="6" t="s">
        <v>245</v>
      </c>
      <c r="B210" s="4" t="s">
        <v>9</v>
      </c>
      <c r="D210" s="5"/>
    </row>
    <row r="211">
      <c r="A211" s="6" t="s">
        <v>246</v>
      </c>
      <c r="B211" s="4" t="s">
        <v>20</v>
      </c>
      <c r="D211" s="5"/>
    </row>
    <row r="212">
      <c r="A212" s="6" t="s">
        <v>247</v>
      </c>
      <c r="B212" s="4" t="s">
        <v>239</v>
      </c>
      <c r="D212" s="5"/>
    </row>
    <row r="213">
      <c r="A213" s="6" t="s">
        <v>248</v>
      </c>
      <c r="B213" s="4" t="s">
        <v>20</v>
      </c>
      <c r="D213" s="5"/>
    </row>
    <row r="214">
      <c r="A214" s="6" t="s">
        <v>249</v>
      </c>
      <c r="B214" s="4" t="s">
        <v>26</v>
      </c>
      <c r="D214" s="5"/>
    </row>
    <row r="215">
      <c r="A215" s="6" t="s">
        <v>250</v>
      </c>
      <c r="B215" s="4" t="s">
        <v>63</v>
      </c>
      <c r="D215" s="5"/>
    </row>
    <row r="216">
      <c r="A216" s="6" t="s">
        <v>251</v>
      </c>
      <c r="B216" s="4" t="s">
        <v>5</v>
      </c>
      <c r="D216" s="5"/>
    </row>
    <row r="217">
      <c r="A217" s="6" t="s">
        <v>252</v>
      </c>
      <c r="B217" s="4" t="s">
        <v>9</v>
      </c>
      <c r="D217" s="5"/>
    </row>
    <row r="218">
      <c r="A218" s="6" t="s">
        <v>253</v>
      </c>
      <c r="B218" s="4" t="s">
        <v>51</v>
      </c>
      <c r="D218" s="5"/>
    </row>
    <row r="219">
      <c r="A219" s="6" t="s">
        <v>254</v>
      </c>
      <c r="B219" s="4" t="s">
        <v>91</v>
      </c>
      <c r="D219" s="5"/>
    </row>
    <row r="220">
      <c r="A220" s="6" t="s">
        <v>255</v>
      </c>
      <c r="B220" s="4" t="s">
        <v>130</v>
      </c>
      <c r="D220" s="5"/>
    </row>
    <row r="221">
      <c r="A221" s="6" t="s">
        <v>256</v>
      </c>
      <c r="B221" s="4" t="s">
        <v>75</v>
      </c>
      <c r="D221" s="5"/>
    </row>
    <row r="222">
      <c r="A222" s="6" t="s">
        <v>257</v>
      </c>
      <c r="B222" s="4" t="s">
        <v>27</v>
      </c>
      <c r="D222" s="5"/>
    </row>
    <row r="223">
      <c r="A223" s="6" t="s">
        <v>258</v>
      </c>
      <c r="B223" s="4" t="s">
        <v>7</v>
      </c>
      <c r="D223" s="5"/>
    </row>
    <row r="224">
      <c r="A224" s="6" t="s">
        <v>259</v>
      </c>
      <c r="B224" s="4" t="s">
        <v>5</v>
      </c>
      <c r="D224" s="5"/>
    </row>
    <row r="225">
      <c r="A225" s="6" t="s">
        <v>260</v>
      </c>
      <c r="B225" s="4" t="s">
        <v>20</v>
      </c>
      <c r="D225" s="5"/>
    </row>
    <row r="226">
      <c r="A226" s="6" t="s">
        <v>261</v>
      </c>
      <c r="B226" s="4" t="s">
        <v>20</v>
      </c>
      <c r="D226" s="5"/>
    </row>
    <row r="227">
      <c r="A227" s="6" t="s">
        <v>262</v>
      </c>
      <c r="B227" s="4" t="s">
        <v>130</v>
      </c>
      <c r="D227" s="5"/>
    </row>
    <row r="228">
      <c r="A228" s="6" t="s">
        <v>263</v>
      </c>
      <c r="B228" s="4" t="s">
        <v>14</v>
      </c>
      <c r="D228" s="5"/>
    </row>
    <row r="229">
      <c r="A229" s="6" t="s">
        <v>264</v>
      </c>
      <c r="B229" s="4" t="s">
        <v>14</v>
      </c>
      <c r="D229" s="5"/>
    </row>
    <row r="230">
      <c r="A230" s="6" t="s">
        <v>265</v>
      </c>
      <c r="B230" s="4" t="s">
        <v>5</v>
      </c>
      <c r="D230" s="5"/>
    </row>
    <row r="231">
      <c r="A231" s="6" t="s">
        <v>266</v>
      </c>
      <c r="B231" s="4" t="s">
        <v>63</v>
      </c>
      <c r="D231" s="5"/>
    </row>
    <row r="232">
      <c r="A232" s="6" t="s">
        <v>267</v>
      </c>
      <c r="B232" s="4" t="s">
        <v>51</v>
      </c>
      <c r="C232" s="4" t="s">
        <v>121</v>
      </c>
      <c r="D232" s="5"/>
    </row>
    <row r="233">
      <c r="A233" s="6" t="s">
        <v>268</v>
      </c>
      <c r="B233" s="4" t="s">
        <v>63</v>
      </c>
      <c r="D233" s="5"/>
    </row>
    <row r="234">
      <c r="A234" s="6" t="s">
        <v>269</v>
      </c>
      <c r="B234" s="4" t="s">
        <v>179</v>
      </c>
      <c r="D234" s="5"/>
    </row>
    <row r="235">
      <c r="A235" s="6" t="s">
        <v>270</v>
      </c>
      <c r="B235" s="4" t="s">
        <v>14</v>
      </c>
      <c r="D235" s="5"/>
    </row>
    <row r="236">
      <c r="A236" s="6" t="s">
        <v>271</v>
      </c>
      <c r="B236" s="4" t="s">
        <v>130</v>
      </c>
      <c r="D236" s="5"/>
    </row>
    <row r="237">
      <c r="A237" s="6" t="s">
        <v>272</v>
      </c>
      <c r="B237" s="4" t="s">
        <v>43</v>
      </c>
      <c r="D237" s="5"/>
    </row>
    <row r="238">
      <c r="A238" s="6" t="s">
        <v>273</v>
      </c>
      <c r="B238" s="4" t="s">
        <v>134</v>
      </c>
      <c r="D238" s="5"/>
    </row>
    <row r="239">
      <c r="A239" s="6" t="s">
        <v>274</v>
      </c>
      <c r="B239" s="4" t="s">
        <v>9</v>
      </c>
      <c r="D239" s="5"/>
    </row>
    <row r="240">
      <c r="A240" s="6" t="s">
        <v>275</v>
      </c>
      <c r="B240" s="4" t="s">
        <v>130</v>
      </c>
      <c r="D240" s="5"/>
    </row>
    <row r="241">
      <c r="A241" s="6" t="s">
        <v>276</v>
      </c>
      <c r="B241" s="4" t="s">
        <v>20</v>
      </c>
      <c r="D241" s="5"/>
    </row>
    <row r="242">
      <c r="A242" s="6" t="s">
        <v>277</v>
      </c>
      <c r="B242" s="4" t="s">
        <v>20</v>
      </c>
      <c r="D242" s="5"/>
    </row>
    <row r="243">
      <c r="A243" s="6" t="s">
        <v>278</v>
      </c>
      <c r="B243" s="4" t="s">
        <v>5</v>
      </c>
      <c r="D243" s="5"/>
    </row>
    <row r="244">
      <c r="A244" s="6" t="s">
        <v>279</v>
      </c>
      <c r="B244" s="4" t="s">
        <v>14</v>
      </c>
      <c r="C244" s="4" t="s">
        <v>11</v>
      </c>
      <c r="D244" s="5"/>
    </row>
    <row r="245">
      <c r="A245" s="6" t="s">
        <v>280</v>
      </c>
      <c r="B245" s="4" t="s">
        <v>5</v>
      </c>
      <c r="D245" s="5"/>
    </row>
    <row r="246">
      <c r="A246" s="6" t="s">
        <v>281</v>
      </c>
      <c r="B246" s="4" t="s">
        <v>5</v>
      </c>
      <c r="D246" s="5"/>
    </row>
    <row r="247">
      <c r="A247" s="6" t="s">
        <v>282</v>
      </c>
      <c r="B247" s="4" t="s">
        <v>51</v>
      </c>
      <c r="D247" s="5"/>
    </row>
    <row r="248">
      <c r="A248" s="6" t="s">
        <v>283</v>
      </c>
      <c r="B248" s="4" t="s">
        <v>51</v>
      </c>
      <c r="D248" s="5"/>
    </row>
    <row r="249">
      <c r="A249" s="6" t="s">
        <v>284</v>
      </c>
      <c r="B249" s="4" t="s">
        <v>5</v>
      </c>
      <c r="D249" s="5"/>
    </row>
    <row r="250">
      <c r="A250" s="6" t="s">
        <v>285</v>
      </c>
      <c r="B250" s="4" t="s">
        <v>239</v>
      </c>
      <c r="D250" s="5"/>
    </row>
    <row r="251">
      <c r="A251" s="6" t="s">
        <v>286</v>
      </c>
      <c r="B251" s="4" t="s">
        <v>179</v>
      </c>
      <c r="D251" s="5"/>
    </row>
    <row r="252">
      <c r="A252" s="6" t="s">
        <v>287</v>
      </c>
      <c r="B252" s="4" t="s">
        <v>11</v>
      </c>
      <c r="D252" s="5"/>
    </row>
    <row r="253">
      <c r="A253" s="6" t="s">
        <v>288</v>
      </c>
      <c r="B253" s="4" t="s">
        <v>23</v>
      </c>
      <c r="D253" s="5"/>
    </row>
    <row r="254">
      <c r="A254" s="6" t="s">
        <v>289</v>
      </c>
      <c r="B254" s="4" t="s">
        <v>5</v>
      </c>
      <c r="D254" s="5"/>
    </row>
    <row r="255">
      <c r="A255" s="6" t="s">
        <v>290</v>
      </c>
      <c r="B255" s="4" t="s">
        <v>53</v>
      </c>
      <c r="D255" s="5"/>
    </row>
    <row r="256">
      <c r="A256" s="6" t="s">
        <v>291</v>
      </c>
      <c r="B256" s="4" t="s">
        <v>5</v>
      </c>
      <c r="D256" s="5"/>
    </row>
    <row r="257">
      <c r="A257" s="6" t="s">
        <v>292</v>
      </c>
      <c r="B257" s="4" t="s">
        <v>45</v>
      </c>
      <c r="C257" s="4" t="s">
        <v>45</v>
      </c>
      <c r="D257" s="5"/>
    </row>
    <row r="258">
      <c r="A258" s="6" t="s">
        <v>293</v>
      </c>
      <c r="B258" s="4" t="s">
        <v>51</v>
      </c>
      <c r="D258" s="5"/>
    </row>
    <row r="259">
      <c r="A259" s="6" t="s">
        <v>294</v>
      </c>
      <c r="B259" s="4" t="s">
        <v>5</v>
      </c>
      <c r="D259" s="5"/>
    </row>
    <row r="260">
      <c r="A260" s="6" t="s">
        <v>295</v>
      </c>
      <c r="B260" s="4" t="s">
        <v>5</v>
      </c>
      <c r="D260" s="5"/>
    </row>
    <row r="261">
      <c r="A261" s="6" t="s">
        <v>296</v>
      </c>
      <c r="B261" s="4" t="s">
        <v>53</v>
      </c>
      <c r="D261" s="5"/>
    </row>
    <row r="262">
      <c r="A262" s="6" t="s">
        <v>297</v>
      </c>
      <c r="B262" s="4" t="s">
        <v>45</v>
      </c>
      <c r="D262" s="5"/>
    </row>
    <row r="263">
      <c r="A263" s="6" t="s">
        <v>298</v>
      </c>
      <c r="B263" s="4" t="s">
        <v>160</v>
      </c>
      <c r="D263" s="5"/>
    </row>
    <row r="264">
      <c r="A264" s="6" t="s">
        <v>299</v>
      </c>
      <c r="B264" s="4" t="s">
        <v>51</v>
      </c>
      <c r="D264" s="5"/>
    </row>
    <row r="265">
      <c r="A265" s="6" t="s">
        <v>300</v>
      </c>
      <c r="B265" s="4" t="s">
        <v>85</v>
      </c>
      <c r="D265" s="5"/>
    </row>
    <row r="266">
      <c r="A266" s="6" t="s">
        <v>301</v>
      </c>
      <c r="B266" s="4" t="s">
        <v>85</v>
      </c>
      <c r="C266" s="4" t="s">
        <v>43</v>
      </c>
      <c r="D266" s="5"/>
    </row>
    <row r="267">
      <c r="A267" s="6" t="s">
        <v>302</v>
      </c>
      <c r="B267" s="4" t="s">
        <v>179</v>
      </c>
      <c r="D267" s="5"/>
    </row>
    <row r="268">
      <c r="A268" s="6" t="s">
        <v>303</v>
      </c>
      <c r="B268" s="4" t="s">
        <v>5</v>
      </c>
      <c r="D268" s="5"/>
    </row>
    <row r="269">
      <c r="A269" s="6" t="s">
        <v>304</v>
      </c>
      <c r="B269" s="4" t="s">
        <v>51</v>
      </c>
      <c r="D269" s="5"/>
    </row>
    <row r="270">
      <c r="A270" s="6" t="s">
        <v>305</v>
      </c>
      <c r="B270" s="4" t="s">
        <v>5</v>
      </c>
      <c r="D270" s="5"/>
    </row>
    <row r="271">
      <c r="A271" s="6" t="s">
        <v>306</v>
      </c>
      <c r="B271" s="4" t="s">
        <v>85</v>
      </c>
      <c r="D271" s="5"/>
    </row>
    <row r="272">
      <c r="A272" s="6" t="s">
        <v>307</v>
      </c>
      <c r="B272" s="4" t="s">
        <v>75</v>
      </c>
      <c r="D272" s="5"/>
    </row>
    <row r="273">
      <c r="A273" s="6" t="s">
        <v>308</v>
      </c>
      <c r="B273" s="4" t="s">
        <v>23</v>
      </c>
      <c r="D273" s="5"/>
    </row>
    <row r="274">
      <c r="A274" s="6" t="s">
        <v>309</v>
      </c>
      <c r="B274" s="4" t="s">
        <v>5</v>
      </c>
      <c r="D274" s="5"/>
    </row>
    <row r="275">
      <c r="A275" s="6" t="s">
        <v>310</v>
      </c>
      <c r="B275" s="4" t="s">
        <v>5</v>
      </c>
      <c r="D275" s="5"/>
    </row>
    <row r="276">
      <c r="A276" s="6" t="s">
        <v>311</v>
      </c>
      <c r="B276" s="4" t="s">
        <v>5</v>
      </c>
      <c r="D276" s="5"/>
    </row>
    <row r="277">
      <c r="A277" s="6" t="s">
        <v>312</v>
      </c>
      <c r="B277" s="4" t="s">
        <v>23</v>
      </c>
      <c r="D277" s="5"/>
    </row>
    <row r="278">
      <c r="A278" s="6" t="s">
        <v>313</v>
      </c>
      <c r="B278" s="4" t="s">
        <v>5</v>
      </c>
      <c r="D278" s="5"/>
    </row>
    <row r="279">
      <c r="A279" s="6" t="s">
        <v>314</v>
      </c>
      <c r="B279" s="4" t="s">
        <v>23</v>
      </c>
      <c r="D279" s="5"/>
    </row>
    <row r="280">
      <c r="A280" s="6" t="s">
        <v>315</v>
      </c>
      <c r="B280" s="4" t="s">
        <v>14</v>
      </c>
      <c r="D280" s="5"/>
    </row>
    <row r="281">
      <c r="A281" s="6" t="s">
        <v>316</v>
      </c>
      <c r="B281" s="4" t="s">
        <v>27</v>
      </c>
      <c r="D281" s="5"/>
    </row>
    <row r="282">
      <c r="A282" s="6" t="s">
        <v>317</v>
      </c>
      <c r="B282" s="4" t="s">
        <v>20</v>
      </c>
      <c r="D282" s="5"/>
    </row>
    <row r="283">
      <c r="A283" s="6" t="s">
        <v>318</v>
      </c>
      <c r="B283" s="4" t="s">
        <v>20</v>
      </c>
      <c r="D283" s="5"/>
    </row>
    <row r="284">
      <c r="A284" s="6" t="s">
        <v>319</v>
      </c>
      <c r="B284" s="4" t="s">
        <v>179</v>
      </c>
      <c r="D284" s="5"/>
    </row>
    <row r="285">
      <c r="A285" s="6" t="s">
        <v>320</v>
      </c>
      <c r="B285" s="4" t="s">
        <v>14</v>
      </c>
      <c r="D285" s="5"/>
    </row>
    <row r="286">
      <c r="A286" s="6" t="s">
        <v>321</v>
      </c>
      <c r="B286" s="4" t="s">
        <v>23</v>
      </c>
      <c r="D286" s="5"/>
    </row>
    <row r="287">
      <c r="A287" s="6" t="s">
        <v>322</v>
      </c>
      <c r="B287" s="4" t="s">
        <v>91</v>
      </c>
      <c r="D287" s="5"/>
    </row>
    <row r="288">
      <c r="A288" s="6" t="s">
        <v>323</v>
      </c>
      <c r="B288" s="4" t="s">
        <v>7</v>
      </c>
      <c r="D288" s="5"/>
    </row>
    <row r="289">
      <c r="A289" s="6" t="s">
        <v>324</v>
      </c>
      <c r="B289" s="4" t="s">
        <v>14</v>
      </c>
      <c r="D289" s="5"/>
    </row>
    <row r="290">
      <c r="A290" s="6" t="s">
        <v>325</v>
      </c>
      <c r="B290" s="4" t="s">
        <v>197</v>
      </c>
      <c r="D290" s="5"/>
    </row>
    <row r="291">
      <c r="A291" s="6" t="s">
        <v>326</v>
      </c>
      <c r="B291" s="4" t="s">
        <v>5</v>
      </c>
      <c r="D291" s="5"/>
    </row>
    <row r="292">
      <c r="A292" s="6" t="s">
        <v>327</v>
      </c>
      <c r="B292" s="4" t="s">
        <v>14</v>
      </c>
      <c r="D292" s="5"/>
    </row>
    <row r="293">
      <c r="A293" s="6" t="s">
        <v>328</v>
      </c>
      <c r="B293" s="4" t="s">
        <v>20</v>
      </c>
      <c r="D293" s="5"/>
    </row>
    <row r="294">
      <c r="A294" s="6" t="s">
        <v>329</v>
      </c>
      <c r="B294" s="4" t="s">
        <v>18</v>
      </c>
      <c r="D294" s="5"/>
    </row>
    <row r="295">
      <c r="A295" s="6" t="s">
        <v>330</v>
      </c>
      <c r="B295" s="4" t="s">
        <v>160</v>
      </c>
      <c r="D295" s="5"/>
    </row>
    <row r="296">
      <c r="A296" s="6" t="s">
        <v>331</v>
      </c>
      <c r="B296" s="4" t="s">
        <v>20</v>
      </c>
      <c r="D296" s="5"/>
    </row>
    <row r="297">
      <c r="A297" s="6" t="s">
        <v>332</v>
      </c>
      <c r="B297" s="4" t="s">
        <v>7</v>
      </c>
      <c r="D297" s="5"/>
    </row>
    <row r="298">
      <c r="A298" s="6" t="s">
        <v>333</v>
      </c>
      <c r="B298" s="4" t="s">
        <v>20</v>
      </c>
      <c r="D298" s="5"/>
    </row>
    <row r="299">
      <c r="A299" s="6" t="s">
        <v>334</v>
      </c>
      <c r="B299" s="4" t="s">
        <v>31</v>
      </c>
      <c r="D299" s="5"/>
    </row>
    <row r="300">
      <c r="A300" s="6" t="s">
        <v>335</v>
      </c>
      <c r="B300" s="4" t="s">
        <v>20</v>
      </c>
      <c r="D300" s="5"/>
    </row>
    <row r="301">
      <c r="A301" s="6" t="s">
        <v>336</v>
      </c>
      <c r="B301" s="4" t="s">
        <v>160</v>
      </c>
      <c r="D301" s="5"/>
    </row>
    <row r="302">
      <c r="A302" s="6" t="s">
        <v>337</v>
      </c>
      <c r="B302" s="4" t="s">
        <v>148</v>
      </c>
      <c r="D302" s="5"/>
    </row>
    <row r="303">
      <c r="A303" s="6" t="s">
        <v>338</v>
      </c>
      <c r="B303" s="4" t="s">
        <v>23</v>
      </c>
      <c r="D303" s="5"/>
    </row>
    <row r="304">
      <c r="A304" s="6" t="s">
        <v>339</v>
      </c>
      <c r="B304" s="4" t="s">
        <v>26</v>
      </c>
      <c r="D304" s="5"/>
    </row>
    <row r="305">
      <c r="A305" s="6" t="s">
        <v>340</v>
      </c>
      <c r="B305" s="4" t="s">
        <v>9</v>
      </c>
      <c r="D305" s="5"/>
    </row>
    <row r="306">
      <c r="A306" s="6" t="s">
        <v>341</v>
      </c>
      <c r="B306" s="4" t="s">
        <v>43</v>
      </c>
      <c r="D306" s="5"/>
    </row>
    <row r="307">
      <c r="A307" s="6" t="s">
        <v>342</v>
      </c>
      <c r="B307" s="4" t="s">
        <v>51</v>
      </c>
      <c r="D307" s="5"/>
    </row>
    <row r="308">
      <c r="A308" s="3" t="s">
        <v>343</v>
      </c>
      <c r="B308" s="4" t="s">
        <v>20</v>
      </c>
      <c r="D308" s="5"/>
    </row>
    <row r="309">
      <c r="A309" s="6" t="s">
        <v>344</v>
      </c>
      <c r="B309" s="4" t="s">
        <v>5</v>
      </c>
      <c r="D309" s="5"/>
    </row>
    <row r="310">
      <c r="A310" s="3" t="s">
        <v>191</v>
      </c>
      <c r="B310" s="4" t="s">
        <v>20</v>
      </c>
      <c r="D310" s="5"/>
    </row>
    <row r="311">
      <c r="A311" s="6" t="s">
        <v>192</v>
      </c>
      <c r="B311" s="4" t="s">
        <v>14</v>
      </c>
      <c r="D311" s="5"/>
    </row>
    <row r="312">
      <c r="A312" s="6" t="s">
        <v>345</v>
      </c>
      <c r="B312" s="4" t="s">
        <v>53</v>
      </c>
      <c r="D312" s="5"/>
    </row>
    <row r="313">
      <c r="A313" s="6" t="s">
        <v>346</v>
      </c>
      <c r="B313" s="4" t="s">
        <v>5</v>
      </c>
      <c r="D313" s="5"/>
    </row>
    <row r="314">
      <c r="A314" s="6" t="s">
        <v>347</v>
      </c>
      <c r="B314" s="4" t="s">
        <v>5</v>
      </c>
      <c r="D314" s="5"/>
    </row>
    <row r="315">
      <c r="A315" s="6" t="s">
        <v>348</v>
      </c>
      <c r="B315" s="4" t="s">
        <v>51</v>
      </c>
      <c r="D315" s="5"/>
    </row>
    <row r="316">
      <c r="A316" s="6" t="s">
        <v>349</v>
      </c>
      <c r="B316" s="4" t="s">
        <v>20</v>
      </c>
      <c r="D316" s="5"/>
    </row>
    <row r="317">
      <c r="A317" s="6" t="s">
        <v>350</v>
      </c>
      <c r="B317" s="4" t="s">
        <v>20</v>
      </c>
      <c r="D317" s="5"/>
    </row>
    <row r="318">
      <c r="A318" s="6" t="s">
        <v>351</v>
      </c>
      <c r="B318" s="4" t="s">
        <v>75</v>
      </c>
      <c r="D318" s="5"/>
    </row>
    <row r="319">
      <c r="A319" s="3" t="s">
        <v>352</v>
      </c>
      <c r="B319" s="4" t="s">
        <v>160</v>
      </c>
      <c r="D319" s="5"/>
    </row>
    <row r="320">
      <c r="A320" s="6" t="s">
        <v>353</v>
      </c>
      <c r="B320" s="4" t="s">
        <v>134</v>
      </c>
      <c r="D320" s="5"/>
    </row>
    <row r="321">
      <c r="A321" s="6" t="s">
        <v>354</v>
      </c>
      <c r="B321" s="4" t="s">
        <v>20</v>
      </c>
      <c r="D321" s="5"/>
    </row>
    <row r="322">
      <c r="A322" s="6" t="s">
        <v>355</v>
      </c>
      <c r="B322" s="4" t="s">
        <v>27</v>
      </c>
      <c r="C322" s="7" t="s">
        <v>45</v>
      </c>
      <c r="D322" s="5"/>
    </row>
    <row r="323">
      <c r="A323" s="6" t="s">
        <v>356</v>
      </c>
      <c r="B323" s="4" t="s">
        <v>14</v>
      </c>
      <c r="D323" s="5"/>
    </row>
    <row r="324">
      <c r="A324" s="6" t="s">
        <v>357</v>
      </c>
      <c r="B324" s="4" t="s">
        <v>5</v>
      </c>
      <c r="D324" s="5"/>
    </row>
    <row r="325">
      <c r="A325" s="6" t="s">
        <v>358</v>
      </c>
      <c r="B325" s="4" t="s">
        <v>14</v>
      </c>
      <c r="D325" s="5"/>
    </row>
    <row r="326">
      <c r="A326" s="6" t="s">
        <v>359</v>
      </c>
      <c r="B326" s="4" t="s">
        <v>14</v>
      </c>
      <c r="D326" s="5"/>
    </row>
    <row r="327">
      <c r="A327" s="6" t="s">
        <v>360</v>
      </c>
      <c r="B327" s="4" t="s">
        <v>20</v>
      </c>
      <c r="D327" s="5"/>
    </row>
    <row r="328">
      <c r="A328" s="6" t="s">
        <v>361</v>
      </c>
      <c r="B328" s="4" t="s">
        <v>20</v>
      </c>
      <c r="D328" s="5"/>
    </row>
    <row r="329">
      <c r="A329" s="6" t="s">
        <v>362</v>
      </c>
      <c r="B329" s="4" t="s">
        <v>20</v>
      </c>
      <c r="D329" s="5"/>
    </row>
    <row r="330">
      <c r="A330" s="6" t="s">
        <v>363</v>
      </c>
      <c r="B330" s="4" t="s">
        <v>20</v>
      </c>
      <c r="D330" s="5"/>
    </row>
    <row r="331">
      <c r="A331" s="6" t="s">
        <v>364</v>
      </c>
      <c r="B331" s="4" t="s">
        <v>91</v>
      </c>
      <c r="D331" s="5"/>
    </row>
    <row r="332">
      <c r="A332" s="6" t="s">
        <v>365</v>
      </c>
      <c r="B332" s="4" t="s">
        <v>20</v>
      </c>
      <c r="D332" s="5"/>
    </row>
    <row r="333">
      <c r="A333" s="6" t="s">
        <v>366</v>
      </c>
      <c r="B333" s="4" t="s">
        <v>31</v>
      </c>
      <c r="D333" s="5"/>
    </row>
    <row r="334">
      <c r="A334" s="6" t="s">
        <v>367</v>
      </c>
      <c r="B334" s="4" t="s">
        <v>14</v>
      </c>
      <c r="D334" s="5"/>
    </row>
    <row r="335">
      <c r="A335" s="6" t="s">
        <v>368</v>
      </c>
      <c r="B335" s="4" t="s">
        <v>53</v>
      </c>
      <c r="D335" s="5"/>
    </row>
    <row r="336">
      <c r="A336" s="6" t="s">
        <v>369</v>
      </c>
      <c r="B336" s="4" t="s">
        <v>20</v>
      </c>
      <c r="D336" s="5"/>
    </row>
    <row r="337">
      <c r="A337" s="3" t="s">
        <v>370</v>
      </c>
      <c r="B337" s="4" t="s">
        <v>14</v>
      </c>
      <c r="C337" s="7" t="s">
        <v>27</v>
      </c>
      <c r="D337" s="5"/>
    </row>
    <row r="338">
      <c r="A338" s="3" t="s">
        <v>371</v>
      </c>
      <c r="B338" s="4" t="s">
        <v>14</v>
      </c>
      <c r="D338" s="5"/>
    </row>
    <row r="339">
      <c r="A339" s="6" t="s">
        <v>372</v>
      </c>
      <c r="B339" s="4" t="s">
        <v>45</v>
      </c>
      <c r="D339" s="5"/>
    </row>
    <row r="340">
      <c r="A340" s="6" t="s">
        <v>373</v>
      </c>
      <c r="B340" s="4" t="s">
        <v>134</v>
      </c>
      <c r="D340" s="5"/>
    </row>
    <row r="341">
      <c r="A341" s="6" t="s">
        <v>374</v>
      </c>
      <c r="B341" s="4" t="s">
        <v>91</v>
      </c>
      <c r="D341" s="5"/>
    </row>
    <row r="342">
      <c r="A342" s="6" t="s">
        <v>375</v>
      </c>
      <c r="B342" s="4" t="s">
        <v>14</v>
      </c>
      <c r="D342" s="5"/>
    </row>
    <row r="343">
      <c r="A343" s="6" t="s">
        <v>376</v>
      </c>
      <c r="B343" s="4" t="s">
        <v>23</v>
      </c>
      <c r="D343" s="5"/>
    </row>
    <row r="344">
      <c r="A344" s="6" t="s">
        <v>377</v>
      </c>
      <c r="B344" s="4" t="s">
        <v>20</v>
      </c>
      <c r="D344" s="5"/>
    </row>
    <row r="345">
      <c r="A345" s="6" t="s">
        <v>378</v>
      </c>
      <c r="B345" s="4" t="s">
        <v>20</v>
      </c>
      <c r="D345" s="5"/>
      <c r="E345" s="2"/>
    </row>
  </sheetData>
  <mergeCells count="1">
    <mergeCell ref="B1:C1"/>
  </mergeCells>
  <hyperlinks>
    <hyperlink r:id="rId1" location="discussion_r1083565846" ref="A2"/>
    <hyperlink r:id="rId2" location="discussion_r1083724374" ref="A3"/>
    <hyperlink r:id="rId3" location="discussion_r1074023214" ref="A4"/>
    <hyperlink r:id="rId4" location="issuecomment-1383873154" ref="A5"/>
    <hyperlink r:id="rId5" location="issuecomment-1440357711" ref="A6"/>
    <hyperlink r:id="rId6" location="issuecomment-1426807019" ref="A7"/>
    <hyperlink r:id="rId7" location="issuecomment-1422355751" ref="A8"/>
    <hyperlink r:id="rId8" location="issuecomment-1422375286" ref="A9"/>
    <hyperlink r:id="rId9" location="issuecomment-1422416345" ref="A10"/>
    <hyperlink r:id="rId10" location="discussion_r1146494323" ref="A11"/>
    <hyperlink r:id="rId11" location="issuecomment-1481577294" ref="A12"/>
    <hyperlink r:id="rId12" location="issuecomment-1486132202" ref="A13"/>
    <hyperlink r:id="rId13" location="issuecomment-1486151336" ref="A14"/>
    <hyperlink r:id="rId14" location="discussion_r1127264221" ref="A15"/>
    <hyperlink r:id="rId15" location="issuecomment-1482782327" ref="A16"/>
    <hyperlink r:id="rId16" location="issuecomment-1485049856" ref="A17"/>
    <hyperlink r:id="rId17" location="issuecomment-1468376389" ref="A18"/>
    <hyperlink r:id="rId18" location="discussion_r1155937820" ref="A19"/>
    <hyperlink r:id="rId19" location="issuecomment-1513081507" ref="A20"/>
    <hyperlink r:id="rId20" location="issuecomment-1523711377" ref="A21"/>
    <hyperlink r:id="rId21" location="issuecomment-1523829146" ref="A22"/>
    <hyperlink r:id="rId22" location="discussion_r1156498711" ref="A23"/>
    <hyperlink r:id="rId23" location="issuecomment-1576578560" ref="A24"/>
    <hyperlink r:id="rId24" location="issuecomment-1582606514" ref="A25"/>
    <hyperlink r:id="rId25" location="issuecomment-1582829867" ref="A26"/>
    <hyperlink r:id="rId26" location="issuecomment-1590831197" ref="A27"/>
    <hyperlink r:id="rId27" location="issuecomment-1582854272" ref="A28"/>
    <hyperlink r:id="rId28" location="discussion_r1235304399" ref="A29"/>
    <hyperlink r:id="rId29" location="discussion_r1235309846" ref="A30"/>
    <hyperlink r:id="rId30" location="issuecomment-1578506842" ref="A31"/>
    <hyperlink r:id="rId31" location="issuecomment-1578517673" ref="A32"/>
    <hyperlink r:id="rId32" location="discussion_r1263879886" ref="A33"/>
    <hyperlink r:id="rId33" location="issuecomment-1597866592" ref="A34"/>
    <hyperlink r:id="rId34" location="issuecomment-1675592946" ref="A35"/>
    <hyperlink r:id="rId35" location="issuecomment-1624983316" ref="A36"/>
    <hyperlink r:id="rId36" location="issuecomment-1672650566" ref="A37"/>
    <hyperlink r:id="rId37" location="issuecomment-1689636196" ref="A38"/>
    <hyperlink r:id="rId38" location="issuecomment-1672651113" ref="A39"/>
    <hyperlink r:id="rId39" location="issuecomment-1689209740" ref="A40"/>
    <hyperlink r:id="rId40" location="issuecomment-1690111304" ref="A41"/>
    <hyperlink r:id="rId41" location="discussion_r1303995244" ref="A42"/>
    <hyperlink r:id="rId42" location="issuecomment-1686618217" ref="A43"/>
    <hyperlink r:id="rId43" location="issuecomment-1661736821" ref="A44"/>
    <hyperlink r:id="rId44" location="issuecomment-1665498143" ref="A45"/>
    <hyperlink r:id="rId45" location="issuecomment-1665506423" ref="A46"/>
    <hyperlink r:id="rId46" location="discussion_r1306204926" ref="A47"/>
    <hyperlink r:id="rId47" location="issuecomment-1697519138" ref="A48"/>
    <hyperlink r:id="rId48" location="discussion_r1314789164" ref="A49"/>
    <hyperlink r:id="rId49" location="discussion_r1332517627" ref="A50"/>
    <hyperlink r:id="rId50" location="discussion_r1336278028" ref="A51"/>
    <hyperlink r:id="rId51" location="issuecomment-1780379051" ref="A52"/>
    <hyperlink r:id="rId52" location="issuecomment-1793344331" ref="A53"/>
    <hyperlink r:id="rId53" location="issuecomment-1785720245" ref="A54"/>
    <hyperlink r:id="rId54" location="issuecomment-1785791090" ref="A55"/>
    <hyperlink r:id="rId55" location="issuecomment-1781507882" ref="A56"/>
    <hyperlink r:id="rId56" location="discussion_r1365062177" ref="A57"/>
    <hyperlink r:id="rId57" location="issuecomment-1752448257" ref="A58"/>
    <hyperlink r:id="rId58" location="issuecomment-1807527354" ref="A59"/>
    <hyperlink r:id="rId59" location="issuecomment-1809757221" ref="A60"/>
    <hyperlink r:id="rId60" location="issuecomment-1801905875" ref="A61"/>
    <hyperlink r:id="rId61" location="issuecomment-1828368632" ref="A62"/>
    <hyperlink r:id="rId62" location="issuecomment-1793218502" ref="A63"/>
    <hyperlink r:id="rId63" location="discussion_r1412686754" ref="A64"/>
    <hyperlink r:id="rId64" location="discussion_r1414961306" ref="A65"/>
    <hyperlink r:id="rId65" location="discussion_r1417022793" ref="A66"/>
    <hyperlink r:id="rId66" location="issuecomment-1948839059" ref="A67"/>
    <hyperlink r:id="rId67" location="issuecomment-1910187080" ref="A68"/>
    <hyperlink r:id="rId68" location="issuecomment-1910451341" ref="A69"/>
    <hyperlink r:id="rId69" location="issuecomment-1900904418" ref="A70"/>
    <hyperlink r:id="rId70" location="issuecomment-1901148987" ref="A71"/>
    <hyperlink r:id="rId71" location="issuecomment-1901569192" ref="A72"/>
    <hyperlink r:id="rId72" location="issuecomment-1902645890" ref="A73"/>
    <hyperlink r:id="rId73" location="issuecomment-1899349398" ref="A74"/>
    <hyperlink r:id="rId74" location="issuecomment-1886360767" ref="A75"/>
    <hyperlink r:id="rId75" location="issuecomment-1887960719" ref="A76"/>
    <hyperlink r:id="rId76" location="discussion_r1450221819" ref="A77"/>
    <hyperlink r:id="rId77" location="issuecomment-1885822780" ref="A78"/>
    <hyperlink r:id="rId78" location="discussion_r1443379463" ref="A79"/>
    <hyperlink r:id="rId79" location="discussion_r1473516211" ref="A80"/>
    <hyperlink r:id="rId80" location="issuecomment-1959829217" ref="A81"/>
    <hyperlink r:id="rId81" location="discussion_r1501899861" ref="A82"/>
    <hyperlink r:id="rId82" location="discussion_r1517923030" ref="A83"/>
    <hyperlink r:id="rId83" location="issuecomment-1955720555" ref="A84"/>
    <hyperlink r:id="rId84" location="discussion_r1487082121" ref="A85"/>
    <hyperlink r:id="rId85" location="discussion_r1507440482" ref="A86"/>
    <hyperlink r:id="rId86" location="issuecomment-2025318864" ref="A87"/>
    <hyperlink r:id="rId87" location="issuecomment-2024845557" ref="A88"/>
    <hyperlink r:id="rId88" location="issuecomment-2014162418" ref="A89"/>
    <hyperlink r:id="rId89" location="issuecomment-1980864682" ref="A90"/>
    <hyperlink r:id="rId90" location="issuecomment-1999698330" ref="A91"/>
    <hyperlink r:id="rId91" location="issuecomment-2034063870" ref="A92"/>
    <hyperlink r:id="rId92" location="discussion_r1530909058" ref="A93"/>
    <hyperlink r:id="rId93" location="issuecomment-1999943078" ref="A94"/>
    <hyperlink r:id="rId94" location="issuecomment-2017657371" ref="A95"/>
    <hyperlink r:id="rId95" location="issuecomment-2061398319" ref="A96"/>
    <hyperlink r:id="rId96" location="issuecomment-2035787922" ref="A97"/>
    <hyperlink r:id="rId97" location="issuecomment-2045255946" ref="A98"/>
    <hyperlink r:id="rId98" location="issuecomment-2072113477" ref="A99"/>
    <hyperlink r:id="rId99" location="issuecomment-2063787042" ref="A100"/>
    <hyperlink r:id="rId100" location="issuecomment-2071595653" ref="A101"/>
    <hyperlink r:id="rId101" location="discussion_r1587350621" ref="A102"/>
    <hyperlink r:id="rId102" location="issuecomment-2155886151" ref="A103"/>
    <hyperlink r:id="rId103" location="issuecomment-2117027142" ref="A104"/>
    <hyperlink r:id="rId104" location="issuecomment-2117397544" ref="A105"/>
    <hyperlink r:id="rId105" location="issuecomment-2153175265" ref="A106"/>
    <hyperlink r:id="rId106" location="issuecomment-2156025254" ref="A107"/>
    <hyperlink r:id="rId107" location="discussion_r1608892185" ref="A108"/>
    <hyperlink r:id="rId108" location="issuecomment-2088165855" ref="A109"/>
    <hyperlink r:id="rId109" location="issuecomment-2200855111" ref="A110"/>
    <hyperlink r:id="rId110" location="discussion_r1633407705" ref="A111"/>
    <hyperlink r:id="rId111" location="discussion_r1636377158" ref="A112"/>
    <hyperlink r:id="rId112" location="discussion_r1664512005" ref="A113"/>
    <hyperlink r:id="rId113" location="issuecomment-2173528937" ref="A114"/>
    <hyperlink r:id="rId114" location="discussion_r1644509089" ref="A115"/>
    <hyperlink r:id="rId115" location="issuecomment-2260800234" ref="A116"/>
    <hyperlink r:id="rId116" location="issuecomment-2264155036" ref="A117"/>
    <hyperlink r:id="rId117" location="issuecomment-2243019123" ref="A118"/>
    <hyperlink r:id="rId118" location="issuecomment-2240820847" ref="A119"/>
    <hyperlink r:id="rId119" location="discussion_r1700879609" ref="A120"/>
    <hyperlink r:id="rId120" location="discussion_r1722395207" ref="A121"/>
    <hyperlink r:id="rId121" location="issuecomment-2223578650" ref="A122"/>
    <hyperlink r:id="rId122" location="issuecomment-2351227427" ref="A123"/>
    <hyperlink r:id="rId123" location="discussion_r1739214016" ref="A124"/>
    <hyperlink r:id="rId124" location="issuecomment-2298195864" ref="A125"/>
    <hyperlink r:id="rId125" location="issuecomment-2289243857" ref="A126"/>
    <hyperlink r:id="rId126" location="discussion_r1703897845" ref="A127"/>
    <hyperlink r:id="rId127" location="discussion_r1796528450" ref="A128"/>
    <hyperlink r:id="rId128" location="issuecomment-2318997943" ref="A129"/>
    <hyperlink r:id="rId129" location="issuecomment-2296393650" ref="A130"/>
    <hyperlink r:id="rId130" location="discussion_r1735211623" ref="A131"/>
    <hyperlink r:id="rId131" location="issuecomment-2269215873" ref="A132"/>
    <hyperlink r:id="rId132" location="issuecomment-2379969401" ref="A133"/>
    <hyperlink r:id="rId133" location="issuecomment-2380293932" ref="A134"/>
    <hyperlink r:id="rId134" location="issuecomment-2359660979" ref="A135"/>
    <hyperlink r:id="rId135" location="issuecomment-2377384077" ref="A136"/>
    <hyperlink r:id="rId136" location="issuecomment-2333447134" ref="A137"/>
    <hyperlink r:id="rId137" location="issuecomment-2341588367" ref="A138"/>
    <hyperlink r:id="rId138" location="issuecomment-2362192856" ref="A139"/>
    <hyperlink r:id="rId139" location="issuecomment-2331351518" ref="A140"/>
    <hyperlink r:id="rId140" location="issuecomment-2331639363" ref="A141"/>
    <hyperlink r:id="rId141" location="issuecomment-2445457916" ref="A142"/>
    <hyperlink r:id="rId142" location="discussion_r1819880028" ref="A143"/>
    <hyperlink r:id="rId143" location="issuecomment-2408543634" ref="A144"/>
    <hyperlink r:id="rId144" location="issuecomment-2469782864" ref="A145"/>
    <hyperlink r:id="rId145" location="discussion_r1856809685" ref="A146"/>
    <hyperlink r:id="rId146" location="discussion_r1851061100" ref="A147"/>
    <hyperlink r:id="rId147" location="discussion_r1906988397" ref="A148"/>
    <hyperlink r:id="rId148" location="discussion_r1837312269" ref="A149"/>
    <hyperlink r:id="rId149" location="discussion_r1850770100" ref="A150"/>
    <hyperlink r:id="rId150" location="issuecomment-2541135317" ref="A151"/>
    <hyperlink r:id="rId151" location="issuecomment-2541213731" ref="A152"/>
    <hyperlink r:id="rId152" location="issuecomment-2624532383" ref="A153"/>
    <hyperlink r:id="rId153" location="issuecomment-2663810694" ref="A154"/>
    <hyperlink r:id="rId154" location="issuecomment-2597614481" ref="A155"/>
    <hyperlink r:id="rId155" location="discussion_r1923604952" ref="A156"/>
    <hyperlink r:id="rId156" location="discussion_r1905911491" ref="A157"/>
    <hyperlink r:id="rId157" location="discussion_r1935940259" ref="A158"/>
    <hyperlink r:id="rId158" location="issuecomment-2670908811" ref="A159"/>
    <hyperlink r:id="rId159" location="issuecomment-2668874799" ref="A160"/>
    <hyperlink r:id="rId160" location="discussion_r545695302" ref="A161"/>
    <hyperlink r:id="rId161" location="discussion_r543497937" ref="A162"/>
    <hyperlink r:id="rId162" location="discussion_r567018223" ref="A163"/>
    <hyperlink r:id="rId163" location="issuecomment-765626800" ref="A164"/>
    <hyperlink r:id="rId164" location="issuecomment-756679378" ref="A165"/>
    <hyperlink r:id="rId165" location="issuecomment-756680553" ref="A166"/>
    <hyperlink r:id="rId166" location="discussion_r559645850" ref="A167"/>
    <hyperlink r:id="rId167" location="issuecomment-779549912" ref="A168"/>
    <hyperlink r:id="rId168" location="issuecomment-779550856" ref="A169"/>
    <hyperlink r:id="rId169" location="issuecomment-797531035" ref="A170"/>
    <hyperlink r:id="rId170" location="issuecomment-801625181" ref="A171"/>
    <hyperlink r:id="rId171" location="issuecomment-801091000" ref="A172"/>
    <hyperlink r:id="rId172" location="issuecomment-801105402" ref="A173"/>
    <hyperlink r:id="rId173" location="issuecomment-793654227" ref="A174"/>
    <hyperlink r:id="rId174" location="issuecomment-837020051" ref="A175"/>
    <hyperlink r:id="rId175" location="discussion_r637023560" ref="A176"/>
    <hyperlink r:id="rId176" location="issuecomment-856753293" ref="A177"/>
    <hyperlink r:id="rId177" location="issuecomment-848266671" ref="A178"/>
    <hyperlink r:id="rId178" location="issuecomment-837133410" ref="A179"/>
    <hyperlink r:id="rId179" location="issuecomment-835330799" ref="A180"/>
    <hyperlink r:id="rId180" location="issuecomment-832071725" ref="A181"/>
    <hyperlink r:id="rId181" location="issuecomment-984087504" ref="A182"/>
    <hyperlink r:id="rId182" location="issuecomment-985285721" ref="A183"/>
    <hyperlink r:id="rId183" location="issuecomment-863421123" ref="A184"/>
    <hyperlink r:id="rId184" location="issuecomment-888678243" ref="A185"/>
    <hyperlink r:id="rId185" location="issuecomment-884843049" ref="A186"/>
    <hyperlink r:id="rId186" location="discussion_r676438744" ref="A187"/>
    <hyperlink r:id="rId187" location="issuecomment-884723190" ref="A188"/>
    <hyperlink r:id="rId188" location="issuecomment-889533506" ref="A189"/>
    <hyperlink r:id="rId189" location="discussion_r679838147" ref="A190"/>
    <hyperlink r:id="rId190" location="issuecomment-878619570" ref="A191"/>
    <hyperlink r:id="rId191" location="issuecomment-883348633" ref="A192"/>
    <hyperlink r:id="rId192" location="issuecomment-874051052" ref="A193"/>
    <hyperlink r:id="rId193" location="issuecomment-900553213" ref="A194"/>
    <hyperlink r:id="rId194" location="issuecomment-910057384" ref="A195"/>
    <hyperlink r:id="rId195" location="issuecomment-913474266" ref="A196"/>
    <hyperlink r:id="rId196" location="issuecomment-892080725" ref="A197"/>
    <hyperlink r:id="rId197" location="issuecomment-892088511" ref="A198"/>
    <hyperlink r:id="rId198" location="issuecomment-904955772" ref="A199"/>
    <hyperlink r:id="rId199" location="issuecomment-899635644" ref="A200"/>
    <hyperlink r:id="rId200" location="issuecomment-900114068" ref="A201"/>
    <hyperlink r:id="rId201" location="issuecomment-901702021" ref="A202"/>
    <hyperlink r:id="rId202" location="issuecomment-901720443" ref="A203"/>
    <hyperlink r:id="rId203" location="issuecomment-906414490" ref="A204"/>
    <hyperlink r:id="rId204" location="discussion_r702913628" ref="A205"/>
    <hyperlink r:id="rId205" location="discussion_r702913729" ref="A206"/>
    <hyperlink r:id="rId206" location="issuecomment-924130437" ref="A207"/>
    <hyperlink r:id="rId207" location="issuecomment-924181155" ref="A208"/>
    <hyperlink r:id="rId208" location="issuecomment-932479529" ref="A209"/>
    <hyperlink r:id="rId209" location="issuecomment-920667290" ref="A210"/>
    <hyperlink r:id="rId210" location="discussion_r739843790" ref="A211"/>
    <hyperlink r:id="rId211" location="issuecomment-942076500" ref="A212"/>
    <hyperlink r:id="rId212" location="issuecomment-970242570" ref="A213"/>
    <hyperlink r:id="rId213" location="discussion_r779691202" ref="A214"/>
    <hyperlink r:id="rId214" location="issuecomment-970508235" ref="A215"/>
    <hyperlink r:id="rId215" location="issuecomment-971788502" ref="A216"/>
    <hyperlink r:id="rId216" location="issuecomment-976168691" ref="A217"/>
    <hyperlink r:id="rId217" location="discussion_r793138311" ref="A218"/>
    <hyperlink r:id="rId218" location="discussion_r769552260" ref="A219"/>
    <hyperlink r:id="rId219" location="issuecomment-1000705330" ref="A220"/>
    <hyperlink r:id="rId220" location="issuecomment-1000097664" ref="A221"/>
    <hyperlink r:id="rId221" location="issuecomment-1000107533" ref="A222"/>
    <hyperlink r:id="rId222" location="issuecomment-994836463" ref="A223"/>
    <hyperlink r:id="rId223" location="issuecomment-994966005" ref="A224"/>
    <hyperlink r:id="rId224" location="issuecomment-1009184755" ref="A225"/>
    <hyperlink r:id="rId225" location="discussion_r782253740" ref="A226"/>
    <hyperlink r:id="rId226" location="discussion_r765954024" ref="A227"/>
    <hyperlink r:id="rId227" location="issuecomment-1021693435" ref="A228"/>
    <hyperlink r:id="rId228" location="issuecomment-1004912593" ref="A229"/>
    <hyperlink r:id="rId229" location="issuecomment-1004920865" ref="A230"/>
    <hyperlink r:id="rId230" location="discussion_r784065168" ref="A231"/>
    <hyperlink r:id="rId231" location="discussion_r807925280" ref="A232"/>
    <hyperlink r:id="rId232" location="issuecomment-1026674714" ref="A233"/>
    <hyperlink r:id="rId233" location="discussion_r842892057" ref="A234"/>
    <hyperlink r:id="rId234" location="issuecomment-1075108673" ref="A235"/>
    <hyperlink r:id="rId235" location="discussion_r820811558" ref="A236"/>
    <hyperlink r:id="rId236" location="issuecomment-1066596746" ref="A237"/>
    <hyperlink r:id="rId237" location="discussion_r838791044" ref="A238"/>
    <hyperlink r:id="rId238" location="discussion_r857226722" ref="A239"/>
    <hyperlink r:id="rId239" location="discussion_r842299961" ref="A240"/>
    <hyperlink r:id="rId240" location="discussion_r877330203" ref="A241"/>
    <hyperlink r:id="rId241" location="discussion_r848878274" ref="A242"/>
    <hyperlink r:id="rId242" location="issuecomment-1142183578" ref="A243"/>
    <hyperlink r:id="rId243" location="issuecomment-1128036138" ref="A244"/>
    <hyperlink r:id="rId244" location="issuecomment-1128167602" ref="A245"/>
    <hyperlink r:id="rId245" location="issuecomment-1126159948" ref="A246"/>
    <hyperlink r:id="rId246" location="discussion_r870062272" ref="A247"/>
    <hyperlink r:id="rId247" location="issuecomment-1137141845" ref="A248"/>
    <hyperlink r:id="rId248" location="issuecomment-1128161665" ref="A249"/>
    <hyperlink r:id="rId249" location="issuecomment-1130487309" ref="A250"/>
    <hyperlink r:id="rId250" location="issuecomment-1144002961" ref="A251"/>
    <hyperlink r:id="rId251" location="issuecomment-1135152219" ref="A252"/>
    <hyperlink r:id="rId252" location="issuecomment-1125506624" ref="A253"/>
    <hyperlink r:id="rId253" location="issuecomment-1126018662" ref="A254"/>
    <hyperlink r:id="rId254" location="issuecomment-1127888784" ref="A255"/>
    <hyperlink r:id="rId255" location="issuecomment-1149608974" ref="A256"/>
    <hyperlink r:id="rId256" location="issuecomment-1152400891" ref="A257"/>
    <hyperlink r:id="rId257" location="discussion_r921977280" ref="A258"/>
    <hyperlink r:id="rId258" location="issuecomment-1185949928" ref="A259"/>
    <hyperlink r:id="rId259" location="issuecomment-1187325320" ref="A260"/>
    <hyperlink r:id="rId260" location="issuecomment-1147935372" ref="A261"/>
    <hyperlink r:id="rId261" location="discussion_r902025727" ref="A262"/>
    <hyperlink r:id="rId262" location="discussion_r889603761" ref="A263"/>
    <hyperlink r:id="rId263" location="issuecomment-1191480627" ref="A264"/>
    <hyperlink r:id="rId264" location="issuecomment-1191482467" ref="A265"/>
    <hyperlink r:id="rId265" location="issuecomment-1196792652" ref="A266"/>
    <hyperlink r:id="rId266" location="issuecomment-1184570444" ref="A267"/>
    <hyperlink r:id="rId267" location="issuecomment-1184585892" ref="A268"/>
    <hyperlink r:id="rId268" location="issuecomment-1194626810" ref="A269"/>
    <hyperlink r:id="rId269" location="issuecomment-1195475937" ref="A270"/>
    <hyperlink r:id="rId270" location="issuecomment-1192619108" ref="A271"/>
    <hyperlink r:id="rId271" location="issuecomment-1194310216" ref="A272"/>
    <hyperlink r:id="rId272" location="discussion_r949989262" ref="A273"/>
    <hyperlink r:id="rId273" location="issuecomment-1244930705" ref="A274"/>
    <hyperlink r:id="rId274" location="issuecomment-1224500795" ref="A275"/>
    <hyperlink r:id="rId275" location="issuecomment-1230715670" ref="A276"/>
    <hyperlink r:id="rId276" location="issuecomment-1209889538" ref="A277"/>
    <hyperlink r:id="rId277" location="issuecomment-1209892350" ref="A278"/>
    <hyperlink r:id="rId278" location="issuecomment-1228712092" ref="A279"/>
    <hyperlink r:id="rId279" location="issuecomment-1216415091" ref="A280"/>
    <hyperlink r:id="rId280" location="issuecomment-1215832526" ref="A281"/>
    <hyperlink r:id="rId281" location="issuecomment-1242158688" ref="A282"/>
    <hyperlink r:id="rId282" location="issuecomment-1248920649" ref="A283"/>
    <hyperlink r:id="rId283" location="discussion_r970362124" ref="A284"/>
    <hyperlink r:id="rId284" location="issuecomment-1241109917" ref="A285"/>
    <hyperlink r:id="rId285" location="issuecomment-1242259347" ref="A286"/>
    <hyperlink r:id="rId286" location="issuecomment-1269341227" ref="A287"/>
    <hyperlink r:id="rId287" location="discussion_r983726151" ref="A288"/>
    <hyperlink r:id="rId288" location="discussion_r983737173" ref="A289"/>
    <hyperlink r:id="rId289" location="issuecomment-1279388288" ref="A290"/>
    <hyperlink r:id="rId290" location="issuecomment-1279399748" ref="A291"/>
    <hyperlink r:id="rId291" location="issuecomment-1291473303" ref="A292"/>
    <hyperlink r:id="rId292" location="discussion_r1037213727" ref="A293"/>
    <hyperlink r:id="rId293" location="issuecomment-1286822344" ref="A294"/>
    <hyperlink r:id="rId294" location="issuecomment-1285849085" ref="A295"/>
    <hyperlink r:id="rId295" location="discussion_r1036121644" ref="A296"/>
    <hyperlink r:id="rId296" location="discussion_r1034190905" ref="A297"/>
    <hyperlink r:id="rId297" location="discussion_r1045712585" ref="A298"/>
    <hyperlink r:id="rId298" location="issuecomment-1326875286" ref="A299"/>
    <hyperlink r:id="rId299" location="discussion_r1034043175" ref="A300"/>
    <hyperlink r:id="rId300" location="discussion_r1034925705" ref="A301"/>
    <hyperlink r:id="rId301" location="discussion_r1016940226" ref="A302"/>
    <hyperlink r:id="rId302" location="issuecomment-1308808154" ref="A303"/>
    <hyperlink r:id="rId303" location="discussion_r1037122436" ref="A304"/>
    <hyperlink r:id="rId304" location="issuecomment-1339101503" ref="A305"/>
    <hyperlink r:id="rId305" location="issuecomment-1361050002" ref="A306"/>
    <hyperlink r:id="rId306" location="discussion_r1050858002" ref="A307"/>
    <hyperlink r:id="rId307" location="issuecomment-1357892871" ref="A308"/>
    <hyperlink r:id="rId308" location="issuecomment-1358114979" ref="A309"/>
    <hyperlink r:id="rId309" location="issuecomment-2670908811" ref="A310"/>
    <hyperlink r:id="rId310" location="issuecomment-2668874799" ref="A311"/>
    <hyperlink r:id="rId311" location="discussion_r1974730734" ref="A312"/>
    <hyperlink r:id="rId312" location="issuecomment-2738116384" ref="A313"/>
    <hyperlink r:id="rId313" location="issuecomment-2750462330" ref="A314"/>
    <hyperlink r:id="rId314" location="issuecomment-2730449028" ref="A315"/>
    <hyperlink r:id="rId315" location="discussion_r2006483914" ref="A316"/>
    <hyperlink r:id="rId316" location="discussion_r2008301713" ref="A317"/>
    <hyperlink r:id="rId317" location="discussion_r1977424201" ref="A318"/>
    <hyperlink r:id="rId318" location="issuecomment-2703653274" ref="A319"/>
    <hyperlink r:id="rId319" location="issuecomment-2693948041" ref="A320"/>
    <hyperlink r:id="rId320" location="issuecomment-2795597092" ref="A321"/>
    <hyperlink r:id="rId321" location="discussion_r2049478574" ref="A322"/>
    <hyperlink r:id="rId322" location="issuecomment-2888992525" ref="A323"/>
    <hyperlink r:id="rId323" location="issuecomment-2889053424" ref="A324"/>
    <hyperlink r:id="rId324" location="issuecomment-2889218109" ref="A325"/>
    <hyperlink r:id="rId325" location="issuecomment-2884484097" ref="A326"/>
    <hyperlink r:id="rId326" location="discussion_r2096028845" ref="A327"/>
    <hyperlink r:id="rId327" location="discussion_r2098766914" ref="A328"/>
    <hyperlink r:id="rId328" location="discussion_r2103548556" ref="A329"/>
    <hyperlink r:id="rId329" location="issuecomment-2887722760" ref="A330"/>
    <hyperlink r:id="rId330" location="issuecomment-3004356312" ref="A331"/>
    <hyperlink r:id="rId331" location="discussion_r2150341785" ref="A332"/>
    <hyperlink r:id="rId332" location="discussion_r2157012512" ref="A333"/>
    <hyperlink r:id="rId333" location="issuecomment-3134461611" ref="A334"/>
    <hyperlink r:id="rId334" location="issuecomment-3050388713" ref="A335"/>
    <hyperlink r:id="rId335" location="discussion_r2226684249" ref="A336"/>
    <hyperlink r:id="rId336" location="issuecomment-3037435884" ref="A337"/>
    <hyperlink r:id="rId337" location="issuecomment-3104643517" ref="A338"/>
    <hyperlink r:id="rId338" location="discussion_r2294739847" ref="A339"/>
    <hyperlink r:id="rId339" location="discussion_r2279534507" ref="A340"/>
    <hyperlink r:id="rId340" location="discussion_r2380229424" ref="A341"/>
    <hyperlink r:id="rId341" location="issuecomment-3314117225" ref="A342"/>
    <hyperlink r:id="rId342" location="issuecomment-3274242189" ref="A343"/>
    <hyperlink r:id="rId343" location="discussion_r2349918819" ref="A344"/>
    <hyperlink r:id="rId344" location="discussion_r2353846205" ref="A345"/>
  </hyperlinks>
  <drawing r:id="rId34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6.0"/>
    <col customWidth="1" min="3" max="3" width="62.88"/>
    <col customWidth="1" min="7" max="7" width="75.0"/>
    <col customWidth="1" min="9" max="9" width="28.38"/>
    <col customWidth="1" min="10" max="10" width="19.75"/>
  </cols>
  <sheetData>
    <row r="1">
      <c r="A1" s="5" t="s">
        <v>379</v>
      </c>
      <c r="B1" s="7" t="str">
        <f t="shared" ref="B1:B340" si="1">IF(COUNTIF(C:C, A1) = 0, "no", IF(COUNTIF(C:C, A1) = 1, "OK", "duplicate")) </f>
        <v>OK</v>
      </c>
      <c r="C1" s="6" t="s">
        <v>2</v>
      </c>
      <c r="E1" s="7" t="str">
        <f t="shared" ref="E1:E335" si="2">IF(COUNTIF(A:A, C1) = 0, "no", IF(COUNTIF(A:A, C1) = 1, "OK", "duplicate"))</f>
        <v>OK</v>
      </c>
      <c r="G1" s="3" t="s">
        <v>2</v>
      </c>
      <c r="H1" s="7" t="str">
        <f t="shared" ref="H1:H344" si="3">IF(COUNTIF(A:A, G1) = 0, "no", IF(COUNTIF(A:A, G1) = 1, "OK", "duplicate"))</f>
        <v>OK</v>
      </c>
      <c r="I1" s="7" t="str">
        <f t="array" ref="I1">XLOOKUP(G1,Label!$A$2:$A$309, Label!$B$2:$B$309)</f>
        <v>Focus Does Not Work</v>
      </c>
      <c r="J1" s="7" t="str">
        <f t="array" ref="J1">XLOOKUP(G1,Label!$A$2:$A$309, Label!$C$2:$C$309)</f>
        <v/>
      </c>
    </row>
    <row r="2">
      <c r="A2" s="5" t="s">
        <v>380</v>
      </c>
      <c r="B2" s="7" t="str">
        <f t="shared" si="1"/>
        <v>OK</v>
      </c>
      <c r="C2" s="6" t="s">
        <v>4</v>
      </c>
      <c r="E2" s="7" t="str">
        <f t="shared" si="2"/>
        <v>OK</v>
      </c>
      <c r="G2" s="6" t="s">
        <v>4</v>
      </c>
      <c r="H2" s="7" t="str">
        <f t="shared" si="3"/>
        <v>OK</v>
      </c>
      <c r="I2" s="7" t="str">
        <f t="array" ref="I2">XLOOKUP(G2,Label!$A$2:$A$309, Label!$B$2:$B$309)</f>
        <v>OutOfScope: Duplicates</v>
      </c>
      <c r="J2" s="7" t="str">
        <f t="array" ref="J2">XLOOKUP(G2,Label!$A$2:$A$309, Label!$C$2:$C$309)</f>
        <v/>
      </c>
    </row>
    <row r="3">
      <c r="A3" s="5" t="s">
        <v>381</v>
      </c>
      <c r="B3" s="7" t="str">
        <f t="shared" si="1"/>
        <v>OK</v>
      </c>
      <c r="C3" s="6" t="s">
        <v>6</v>
      </c>
      <c r="E3" s="7" t="str">
        <f t="shared" si="2"/>
        <v>OK</v>
      </c>
      <c r="G3" s="6" t="s">
        <v>6</v>
      </c>
      <c r="H3" s="7" t="str">
        <f t="shared" si="3"/>
        <v>OK</v>
      </c>
      <c r="I3" s="7" t="str">
        <f t="array" ref="I3">XLOOKUP(G3,Label!$A$2:$A$309, Label!$B$2:$B$309)</f>
        <v>Size of Page/Header Changed</v>
      </c>
      <c r="J3" s="7" t="str">
        <f t="array" ref="J3">XLOOKUP(G3,Label!$A$2:$A$309, Label!$C$2:$C$309)</f>
        <v/>
      </c>
    </row>
    <row r="4">
      <c r="A4" s="5" t="s">
        <v>382</v>
      </c>
      <c r="B4" s="7" t="str">
        <f t="shared" si="1"/>
        <v>OK</v>
      </c>
      <c r="C4" s="6" t="s">
        <v>8</v>
      </c>
      <c r="E4" s="7" t="str">
        <f t="shared" si="2"/>
        <v>OK</v>
      </c>
      <c r="G4" s="6" t="s">
        <v>8</v>
      </c>
      <c r="H4" s="7" t="str">
        <f t="shared" si="3"/>
        <v>OK</v>
      </c>
      <c r="I4" s="7" t="str">
        <f t="array" ref="I4">XLOOKUP(G4,Label!$A$2:$A$309, Label!$B$2:$B$309)</f>
        <v>OutOfScope: Cannot access</v>
      </c>
      <c r="J4" s="7" t="str">
        <f t="array" ref="J4">XLOOKUP(G4,Label!$A$2:$A$309, Label!$C$2:$C$309)</f>
        <v/>
      </c>
    </row>
    <row r="5">
      <c r="A5" s="5" t="s">
        <v>383</v>
      </c>
      <c r="B5" s="7" t="str">
        <f t="shared" si="1"/>
        <v>OK</v>
      </c>
      <c r="C5" s="6" t="s">
        <v>10</v>
      </c>
      <c r="E5" s="7" t="str">
        <f t="shared" si="2"/>
        <v>OK</v>
      </c>
      <c r="G5" s="6" t="s">
        <v>10</v>
      </c>
      <c r="H5" s="7" t="str">
        <f t="shared" si="3"/>
        <v>OK</v>
      </c>
      <c r="I5" s="7" t="str">
        <f t="array" ref="I5">XLOOKUP(G5,Label!$A$2:$A$309, Label!$B$2:$B$309)</f>
        <v>Text Size Changed</v>
      </c>
      <c r="J5" s="7" t="str">
        <f t="array" ref="J5">XLOOKUP(G5,Label!$A$2:$A$309, Label!$C$2:$C$309)</f>
        <v/>
      </c>
    </row>
    <row r="6">
      <c r="A6" s="5" t="s">
        <v>384</v>
      </c>
      <c r="B6" s="7" t="str">
        <f t="shared" si="1"/>
        <v>OK</v>
      </c>
      <c r="C6" s="6" t="s">
        <v>12</v>
      </c>
      <c r="E6" s="7" t="str">
        <f t="shared" si="2"/>
        <v>OK</v>
      </c>
      <c r="G6" s="6" t="s">
        <v>12</v>
      </c>
      <c r="H6" s="7" t="str">
        <f t="shared" si="3"/>
        <v>OK</v>
      </c>
      <c r="I6" s="7" t="str">
        <f t="array" ref="I6">XLOOKUP(G6,Label!$A$2:$A$309, Label!$B$2:$B$309)</f>
        <v>OutOfScope: Duplicates</v>
      </c>
      <c r="J6" s="7" t="str">
        <f t="array" ref="J6">XLOOKUP(G6,Label!$A$2:$A$309, Label!$C$2:$C$309)</f>
        <v/>
      </c>
    </row>
    <row r="7">
      <c r="A7" s="5" t="s">
        <v>385</v>
      </c>
      <c r="B7" s="7" t="str">
        <f t="shared" si="1"/>
        <v>OK</v>
      </c>
      <c r="C7" s="6" t="s">
        <v>13</v>
      </c>
      <c r="E7" s="7" t="str">
        <f t="shared" si="2"/>
        <v>OK</v>
      </c>
      <c r="G7" s="6" t="s">
        <v>13</v>
      </c>
      <c r="H7" s="7" t="str">
        <f t="shared" si="3"/>
        <v>OK</v>
      </c>
      <c r="I7" s="7" t="str">
        <f t="array" ref="I7">XLOOKUP(G7,Label!$A$2:$A$309, Label!$B$2:$B$309)</f>
        <v>Layout Shifted</v>
      </c>
      <c r="J7" s="7" t="str">
        <f t="array" ref="J7">XLOOKUP(G7,Label!$A$2:$A$309, Label!$C$2:$C$309)</f>
        <v/>
      </c>
    </row>
    <row r="8">
      <c r="A8" s="5" t="s">
        <v>386</v>
      </c>
      <c r="B8" s="7" t="str">
        <f t="shared" si="1"/>
        <v>OK</v>
      </c>
      <c r="C8" s="6" t="s">
        <v>15</v>
      </c>
      <c r="E8" s="7" t="str">
        <f t="shared" si="2"/>
        <v>OK</v>
      </c>
      <c r="G8" s="6" t="s">
        <v>15</v>
      </c>
      <c r="H8" s="7" t="str">
        <f t="shared" si="3"/>
        <v>OK</v>
      </c>
      <c r="I8" s="7" t="str">
        <f t="array" ref="I8">XLOOKUP(G8,Label!$A$2:$A$309, Label!$B$2:$B$309)</f>
        <v>OutOfScope: Duplicates</v>
      </c>
      <c r="J8" s="7" t="str">
        <f t="array" ref="J8">XLOOKUP(G8,Label!$A$2:$A$309, Label!$C$2:$C$309)</f>
        <v/>
      </c>
    </row>
    <row r="9">
      <c r="A9" s="5" t="s">
        <v>387</v>
      </c>
      <c r="B9" s="7" t="str">
        <f t="shared" si="1"/>
        <v>OK</v>
      </c>
      <c r="C9" s="6" t="s">
        <v>16</v>
      </c>
      <c r="E9" s="7" t="str">
        <f t="shared" si="2"/>
        <v>OK</v>
      </c>
      <c r="G9" s="6" t="s">
        <v>16</v>
      </c>
      <c r="H9" s="7" t="str">
        <f t="shared" si="3"/>
        <v>OK</v>
      </c>
      <c r="I9" s="7" t="str">
        <f t="array" ref="I9">XLOOKUP(G9,Label!$A$2:$A$309, Label!$B$2:$B$309)</f>
        <v>OutOfScope: Duplicates</v>
      </c>
      <c r="J9" s="7" t="str">
        <f t="array" ref="J9">XLOOKUP(G9,Label!$A$2:$A$309, Label!$C$2:$C$309)</f>
        <v/>
      </c>
    </row>
    <row r="10">
      <c r="A10" s="5" t="s">
        <v>388</v>
      </c>
      <c r="B10" s="7" t="str">
        <f t="shared" si="1"/>
        <v>OK</v>
      </c>
      <c r="C10" s="6" t="s">
        <v>17</v>
      </c>
      <c r="E10" s="7" t="str">
        <f t="shared" si="2"/>
        <v>OK</v>
      </c>
      <c r="G10" s="6" t="s">
        <v>17</v>
      </c>
      <c r="H10" s="7" t="str">
        <f t="shared" si="3"/>
        <v>OK</v>
      </c>
      <c r="I10" s="7" t="str">
        <f t="array" ref="I10">XLOOKUP(G10,Label!$A$2:$A$309, Label!$B$2:$B$309)</f>
        <v>Border Disappeared</v>
      </c>
      <c r="J10" s="7" t="str">
        <f t="array" ref="J10">XLOOKUP(G10,Label!$A$2:$A$309, Label!$C$2:$C$309)</f>
        <v/>
      </c>
    </row>
    <row r="11">
      <c r="A11" s="5" t="s">
        <v>389</v>
      </c>
      <c r="B11" s="7" t="str">
        <f t="shared" si="1"/>
        <v>OK</v>
      </c>
      <c r="C11" s="6" t="s">
        <v>19</v>
      </c>
      <c r="E11" s="7" t="str">
        <f t="shared" si="2"/>
        <v>OK</v>
      </c>
      <c r="G11" s="6" t="s">
        <v>19</v>
      </c>
      <c r="H11" s="7" t="str">
        <f t="shared" si="3"/>
        <v>OK</v>
      </c>
      <c r="I11" s="7" t="str">
        <f t="array" ref="I11">XLOOKUP(G11,Label!$A$2:$A$309, Label!$B$2:$B$309)</f>
        <v>OutOfScope: New Story</v>
      </c>
      <c r="J11" s="7" t="str">
        <f t="array" ref="J11">XLOOKUP(G11,Label!$A$2:$A$309, Label!$C$2:$C$309)</f>
        <v/>
      </c>
    </row>
    <row r="12">
      <c r="A12" s="5" t="s">
        <v>390</v>
      </c>
      <c r="B12" s="7" t="str">
        <f t="shared" si="1"/>
        <v>OK</v>
      </c>
      <c r="C12" s="6" t="s">
        <v>21</v>
      </c>
      <c r="E12" s="7" t="str">
        <f t="shared" si="2"/>
        <v>OK</v>
      </c>
      <c r="G12" s="6" t="s">
        <v>21</v>
      </c>
      <c r="H12" s="7" t="str">
        <f t="shared" si="3"/>
        <v>OK</v>
      </c>
      <c r="I12" s="7" t="str">
        <f t="array" ref="I12">XLOOKUP(G12,Label!$A$2:$A$309, Label!$B$2:$B$309)</f>
        <v>Image Replaced</v>
      </c>
      <c r="J12" s="7" t="str">
        <f t="array" ref="J12">XLOOKUP(G12,Label!$A$2:$A$309, Label!$C$2:$C$309)</f>
        <v>Layout Changed</v>
      </c>
    </row>
    <row r="13">
      <c r="A13" s="5" t="s">
        <v>391</v>
      </c>
      <c r="B13" s="7" t="str">
        <f t="shared" si="1"/>
        <v>OK</v>
      </c>
      <c r="C13" s="6" t="s">
        <v>24</v>
      </c>
      <c r="E13" s="7" t="str">
        <f t="shared" si="2"/>
        <v>OK</v>
      </c>
      <c r="G13" s="6" t="s">
        <v>24</v>
      </c>
      <c r="H13" s="7" t="str">
        <f t="shared" si="3"/>
        <v>OK</v>
      </c>
      <c r="I13" s="7" t="str">
        <f t="array" ref="I13">XLOOKUP(G13,Label!$A$2:$A$309, Label!$B$2:$B$309)</f>
        <v>OutOfScope: Duplicates</v>
      </c>
      <c r="J13" s="7" t="str">
        <f t="array" ref="J13">XLOOKUP(G13,Label!$A$2:$A$309, Label!$C$2:$C$309)</f>
        <v/>
      </c>
    </row>
    <row r="14">
      <c r="A14" s="5" t="s">
        <v>392</v>
      </c>
      <c r="B14" s="7" t="str">
        <f t="shared" si="1"/>
        <v>OK</v>
      </c>
      <c r="C14" s="6" t="s">
        <v>25</v>
      </c>
      <c r="E14" s="7" t="str">
        <f t="shared" si="2"/>
        <v>OK</v>
      </c>
      <c r="G14" s="6" t="s">
        <v>25</v>
      </c>
      <c r="H14" s="7" t="str">
        <f t="shared" si="3"/>
        <v>OK</v>
      </c>
      <c r="I14" s="7" t="str">
        <f t="array" ref="I14">XLOOKUP(G14,Label!$A$2:$A$309, Label!$B$2:$B$309)</f>
        <v>Text Disappeared</v>
      </c>
      <c r="J14" s="7" t="str">
        <f t="array" ref="J14">XLOOKUP(G14,Label!$A$2:$A$309, Label!$C$2:$C$309)</f>
        <v>New Contents</v>
      </c>
    </row>
    <row r="15">
      <c r="A15" s="5" t="s">
        <v>393</v>
      </c>
      <c r="B15" s="7" t="str">
        <f t="shared" si="1"/>
        <v>OK</v>
      </c>
      <c r="C15" s="6" t="s">
        <v>28</v>
      </c>
      <c r="E15" s="7" t="str">
        <f t="shared" si="2"/>
        <v>OK</v>
      </c>
      <c r="G15" s="6" t="s">
        <v>28</v>
      </c>
      <c r="H15" s="7" t="str">
        <f t="shared" si="3"/>
        <v>OK</v>
      </c>
      <c r="I15" s="7" t="str">
        <f t="array" ref="I15">XLOOKUP(G15,Label!$A$2:$A$309, Label!$B$2:$B$309)</f>
        <v>Layout Shifted</v>
      </c>
      <c r="J15" s="7" t="str">
        <f t="array" ref="J15">XLOOKUP(G15,Label!$A$2:$A$309, Label!$C$2:$C$309)</f>
        <v/>
      </c>
    </row>
    <row r="16">
      <c r="A16" s="5" t="s">
        <v>394</v>
      </c>
      <c r="B16" s="7" t="str">
        <f t="shared" si="1"/>
        <v>OK</v>
      </c>
      <c r="C16" s="6" t="s">
        <v>29</v>
      </c>
      <c r="E16" s="7" t="str">
        <f t="shared" si="2"/>
        <v>OK</v>
      </c>
      <c r="G16" s="6" t="s">
        <v>29</v>
      </c>
      <c r="H16" s="7" t="str">
        <f t="shared" si="3"/>
        <v>OK</v>
      </c>
      <c r="I16" s="7" t="str">
        <f t="array" ref="I16">XLOOKUP(G16,Label!$A$2:$A$309, Label!$B$2:$B$309)</f>
        <v>OutOfScope: Duplicates</v>
      </c>
      <c r="J16" s="7" t="str">
        <f t="array" ref="J16">XLOOKUP(G16,Label!$A$2:$A$309, Label!$C$2:$C$309)</f>
        <v/>
      </c>
    </row>
    <row r="17">
      <c r="A17" s="5" t="s">
        <v>395</v>
      </c>
      <c r="B17" s="7" t="str">
        <f t="shared" si="1"/>
        <v>OK</v>
      </c>
      <c r="C17" s="6" t="s">
        <v>30</v>
      </c>
      <c r="E17" s="7" t="str">
        <f t="shared" si="2"/>
        <v>OK</v>
      </c>
      <c r="G17" s="6" t="s">
        <v>30</v>
      </c>
      <c r="H17" s="7" t="str">
        <f t="shared" si="3"/>
        <v>OK</v>
      </c>
      <c r="I17" s="7" t="str">
        <f t="array" ref="I17">XLOOKUP(G17,Label!$A$2:$A$309, Label!$B$2:$B$309)</f>
        <v>Undefined/Wrong State is Shown</v>
      </c>
      <c r="J17" s="7" t="str">
        <f t="array" ref="J17">XLOOKUP(G17,Label!$A$2:$A$309, Label!$C$2:$C$309)</f>
        <v/>
      </c>
    </row>
    <row r="18">
      <c r="A18" s="5" t="s">
        <v>396</v>
      </c>
      <c r="B18" s="7" t="str">
        <f t="shared" si="1"/>
        <v>OK</v>
      </c>
      <c r="C18" s="6" t="s">
        <v>32</v>
      </c>
      <c r="E18" s="7" t="str">
        <f t="shared" si="2"/>
        <v>OK</v>
      </c>
      <c r="G18" s="6" t="s">
        <v>32</v>
      </c>
      <c r="H18" s="7" t="str">
        <f t="shared" si="3"/>
        <v>OK</v>
      </c>
      <c r="I18" s="7" t="str">
        <f t="array" ref="I18">XLOOKUP(G18,Label!$A$2:$A$309, Label!$B$2:$B$309)</f>
        <v>OutOfScope: New Story</v>
      </c>
      <c r="J18" s="7" t="str">
        <f t="array" ref="J18">XLOOKUP(G18,Label!$A$2:$A$309, Label!$C$2:$C$309)</f>
        <v/>
      </c>
    </row>
    <row r="19">
      <c r="A19" s="5" t="s">
        <v>397</v>
      </c>
      <c r="B19" s="7" t="str">
        <f t="shared" si="1"/>
        <v>OK</v>
      </c>
      <c r="C19" s="6" t="s">
        <v>33</v>
      </c>
      <c r="E19" s="7" t="str">
        <f t="shared" si="2"/>
        <v>OK</v>
      </c>
      <c r="G19" s="6" t="s">
        <v>33</v>
      </c>
      <c r="H19" s="7" t="str">
        <f t="shared" si="3"/>
        <v>OK</v>
      </c>
      <c r="I19" s="7" t="str">
        <f t="array" ref="I19">XLOOKUP(G19,Label!$A$2:$A$309, Label!$B$2:$B$309)</f>
        <v>Default State is Changed</v>
      </c>
      <c r="J19" s="7" t="str">
        <f t="array" ref="J19">XLOOKUP(G19,Label!$A$2:$A$309, Label!$C$2:$C$309)</f>
        <v/>
      </c>
    </row>
    <row r="20">
      <c r="A20" s="5" t="s">
        <v>398</v>
      </c>
      <c r="B20" s="7" t="str">
        <f t="shared" si="1"/>
        <v>OK</v>
      </c>
      <c r="C20" s="6" t="s">
        <v>35</v>
      </c>
      <c r="E20" s="7" t="str">
        <f t="shared" si="2"/>
        <v>OK</v>
      </c>
      <c r="G20" s="6" t="s">
        <v>35</v>
      </c>
      <c r="H20" s="7" t="str">
        <f t="shared" si="3"/>
        <v>OK</v>
      </c>
      <c r="I20" s="7" t="str">
        <f t="array" ref="I20">XLOOKUP(G20,Label!$A$2:$A$309, Label!$B$2:$B$309)</f>
        <v>OutOfScope: New Story</v>
      </c>
      <c r="J20" s="7" t="str">
        <f t="array" ref="J20">XLOOKUP(G20,Label!$A$2:$A$309, Label!$C$2:$C$309)</f>
        <v/>
      </c>
    </row>
    <row r="21">
      <c r="A21" s="5" t="s">
        <v>399</v>
      </c>
      <c r="B21" s="7" t="str">
        <f t="shared" si="1"/>
        <v>OK</v>
      </c>
      <c r="C21" s="6" t="s">
        <v>36</v>
      </c>
      <c r="E21" s="7" t="str">
        <f t="shared" si="2"/>
        <v>OK</v>
      </c>
      <c r="G21" s="6" t="s">
        <v>36</v>
      </c>
      <c r="H21" s="7" t="str">
        <f t="shared" si="3"/>
        <v>OK</v>
      </c>
      <c r="I21" s="7" t="str">
        <f t="array" ref="I21">XLOOKUP(G21,Label!$A$2:$A$309, Label!$B$2:$B$309)</f>
        <v>OutOfScope: Duplicates</v>
      </c>
      <c r="J21" s="7" t="str">
        <f t="array" ref="J21">XLOOKUP(G21,Label!$A$2:$A$309, Label!$C$2:$C$309)</f>
        <v/>
      </c>
    </row>
    <row r="22">
      <c r="A22" s="5" t="s">
        <v>400</v>
      </c>
      <c r="B22" s="7" t="str">
        <f t="shared" si="1"/>
        <v>OK</v>
      </c>
      <c r="C22" s="6" t="s">
        <v>37</v>
      </c>
      <c r="E22" s="7" t="str">
        <f t="shared" si="2"/>
        <v>OK</v>
      </c>
      <c r="G22" s="6" t="s">
        <v>37</v>
      </c>
      <c r="H22" s="7" t="str">
        <f t="shared" si="3"/>
        <v>OK</v>
      </c>
      <c r="I22" s="7" t="str">
        <f t="array" ref="I22">XLOOKUP(G22,Label!$A$2:$A$309, Label!$B$2:$B$309)</f>
        <v>OutOfScope: Cannot access</v>
      </c>
      <c r="J22" s="7" t="str">
        <f t="array" ref="J22">XLOOKUP(G22,Label!$A$2:$A$309, Label!$C$2:$C$309)</f>
        <v/>
      </c>
    </row>
    <row r="23">
      <c r="A23" s="5" t="s">
        <v>401</v>
      </c>
      <c r="B23" s="7" t="str">
        <f t="shared" si="1"/>
        <v>OK</v>
      </c>
      <c r="C23" s="6" t="s">
        <v>38</v>
      </c>
      <c r="E23" s="7" t="str">
        <f t="shared" si="2"/>
        <v>OK</v>
      </c>
      <c r="G23" s="6" t="s">
        <v>38</v>
      </c>
      <c r="H23" s="7" t="str">
        <f t="shared" si="3"/>
        <v>OK</v>
      </c>
      <c r="I23" s="7" t="str">
        <f t="array" ref="I23">XLOOKUP(G23,Label!$A$2:$A$309, Label!$B$2:$B$309)</f>
        <v>OutOfScope: New Story</v>
      </c>
      <c r="J23" s="7" t="str">
        <f t="array" ref="J23">XLOOKUP(G23,Label!$A$2:$A$309, Label!$C$2:$C$309)</f>
        <v/>
      </c>
    </row>
    <row r="24">
      <c r="A24" s="5" t="s">
        <v>402</v>
      </c>
      <c r="B24" s="7" t="str">
        <f t="shared" si="1"/>
        <v>OK</v>
      </c>
      <c r="C24" s="6" t="s">
        <v>39</v>
      </c>
      <c r="E24" s="7" t="str">
        <f t="shared" si="2"/>
        <v>OK</v>
      </c>
      <c r="G24" s="6" t="s">
        <v>39</v>
      </c>
      <c r="H24" s="7" t="str">
        <f t="shared" si="3"/>
        <v>OK</v>
      </c>
      <c r="I24" s="7" t="str">
        <f t="array" ref="I24">XLOOKUP(G24,Label!$A$2:$A$309, Label!$B$2:$B$309)</f>
        <v>OutOfScope: New Story</v>
      </c>
      <c r="J24" s="7" t="str">
        <f t="array" ref="J24">XLOOKUP(G24,Label!$A$2:$A$309, Label!$C$2:$C$309)</f>
        <v/>
      </c>
    </row>
    <row r="25">
      <c r="A25" s="5" t="s">
        <v>403</v>
      </c>
      <c r="B25" s="7" t="str">
        <f t="shared" si="1"/>
        <v>OK</v>
      </c>
      <c r="C25" s="3" t="s">
        <v>40</v>
      </c>
      <c r="E25" s="7" t="str">
        <f t="shared" si="2"/>
        <v>OK</v>
      </c>
      <c r="G25" s="6" t="s">
        <v>40</v>
      </c>
      <c r="H25" s="7" t="str">
        <f t="shared" si="3"/>
        <v>OK</v>
      </c>
      <c r="I25" s="7" t="str">
        <f t="array" ref="I25">XLOOKUP(G25,Label!$A$2:$A$309, Label!$B$2:$B$309)</f>
        <v>OutOfScope: Duplicates</v>
      </c>
      <c r="J25" s="7" t="str">
        <f t="array" ref="J25">XLOOKUP(G25,Label!$A$2:$A$309, Label!$C$2:$C$309)</f>
        <v/>
      </c>
    </row>
    <row r="26">
      <c r="A26" s="5" t="s">
        <v>404</v>
      </c>
      <c r="B26" s="7" t="str">
        <f t="shared" si="1"/>
        <v>OK</v>
      </c>
      <c r="C26" s="6" t="s">
        <v>41</v>
      </c>
      <c r="E26" s="7" t="str">
        <f t="shared" si="2"/>
        <v>OK</v>
      </c>
      <c r="G26" s="6" t="s">
        <v>41</v>
      </c>
      <c r="H26" s="7" t="str">
        <f t="shared" si="3"/>
        <v>OK</v>
      </c>
      <c r="I26" s="7" t="str">
        <f t="array" ref="I26">XLOOKUP(G26,Label!$A$2:$A$309, Label!$B$2:$B$309)</f>
        <v>OutOfScope: Duplicates</v>
      </c>
      <c r="J26" s="7" t="str">
        <f t="array" ref="J26">XLOOKUP(G26,Label!$A$2:$A$309, Label!$C$2:$C$309)</f>
        <v/>
      </c>
    </row>
    <row r="27">
      <c r="A27" s="5" t="s">
        <v>405</v>
      </c>
      <c r="B27" s="7" t="str">
        <f t="shared" si="1"/>
        <v>OK</v>
      </c>
      <c r="C27" s="6" t="s">
        <v>42</v>
      </c>
      <c r="E27" s="7" t="str">
        <f t="shared" si="2"/>
        <v>OK</v>
      </c>
      <c r="G27" s="6" t="s">
        <v>42</v>
      </c>
      <c r="H27" s="7" t="str">
        <f t="shared" si="3"/>
        <v>OK</v>
      </c>
      <c r="I27" s="7" t="str">
        <f t="array" ref="I27">XLOOKUP(G27,Label!$A$2:$A$309, Label!$B$2:$B$309)</f>
        <v>Contents Disappeared</v>
      </c>
      <c r="J27" s="7" t="str">
        <f t="array" ref="J27">XLOOKUP(G27,Label!$A$2:$A$309, Label!$C$2:$C$309)</f>
        <v/>
      </c>
    </row>
    <row r="28">
      <c r="A28" s="5" t="s">
        <v>2</v>
      </c>
      <c r="B28" s="7" t="str">
        <f t="shared" si="1"/>
        <v>OK</v>
      </c>
      <c r="C28" s="6" t="s">
        <v>44</v>
      </c>
      <c r="E28" s="7" t="str">
        <f t="shared" si="2"/>
        <v>OK</v>
      </c>
      <c r="G28" s="6" t="s">
        <v>44</v>
      </c>
      <c r="H28" s="7" t="str">
        <f t="shared" si="3"/>
        <v>OK</v>
      </c>
      <c r="I28" s="7" t="str">
        <f t="array" ref="I28">XLOOKUP(G28,Label!$A$2:$A$309, Label!$B$2:$B$309)</f>
        <v>Box Color Changed</v>
      </c>
      <c r="J28" s="7" t="str">
        <f t="array" ref="J28">XLOOKUP(G28,Label!$A$2:$A$309, Label!$C$2:$C$309)</f>
        <v/>
      </c>
    </row>
    <row r="29">
      <c r="A29" s="5" t="s">
        <v>4</v>
      </c>
      <c r="B29" s="7" t="str">
        <f t="shared" si="1"/>
        <v>OK</v>
      </c>
      <c r="C29" s="6" t="s">
        <v>46</v>
      </c>
      <c r="E29" s="7" t="str">
        <f t="shared" si="2"/>
        <v>OK</v>
      </c>
      <c r="G29" s="6" t="s">
        <v>46</v>
      </c>
      <c r="H29" s="7" t="str">
        <f t="shared" si="3"/>
        <v>OK</v>
      </c>
      <c r="I29" s="7" t="str">
        <f t="array" ref="I29">XLOOKUP(G29,Label!$A$2:$A$309, Label!$B$2:$B$309)</f>
        <v>Box Color Changed</v>
      </c>
      <c r="J29" s="7" t="str">
        <f t="array" ref="J29">XLOOKUP(G29,Label!$A$2:$A$309, Label!$C$2:$C$309)</f>
        <v/>
      </c>
    </row>
    <row r="30">
      <c r="A30" s="5" t="s">
        <v>6</v>
      </c>
      <c r="B30" s="7" t="str">
        <f t="shared" si="1"/>
        <v>OK</v>
      </c>
      <c r="C30" s="6" t="s">
        <v>47</v>
      </c>
      <c r="E30" s="7" t="str">
        <f t="shared" si="2"/>
        <v>OK</v>
      </c>
      <c r="G30" s="6" t="s">
        <v>47</v>
      </c>
      <c r="H30" s="7" t="str">
        <f t="shared" si="3"/>
        <v>OK</v>
      </c>
      <c r="I30" s="7" t="str">
        <f t="array" ref="I30">XLOOKUP(G30,Label!$A$2:$A$309, Label!$B$2:$B$309)</f>
        <v>Box Color Changed</v>
      </c>
      <c r="J30" s="7" t="str">
        <f t="array" ref="J30">XLOOKUP(G30,Label!$A$2:$A$309, Label!$C$2:$C$309)</f>
        <v/>
      </c>
    </row>
    <row r="31">
      <c r="A31" s="5" t="s">
        <v>8</v>
      </c>
      <c r="B31" s="7" t="str">
        <f t="shared" si="1"/>
        <v>OK</v>
      </c>
      <c r="C31" s="6" t="s">
        <v>48</v>
      </c>
      <c r="E31" s="7" t="str">
        <f t="shared" si="2"/>
        <v>OK</v>
      </c>
      <c r="G31" s="6" t="s">
        <v>48</v>
      </c>
      <c r="H31" s="7" t="str">
        <f t="shared" si="3"/>
        <v>OK</v>
      </c>
      <c r="I31" s="7" t="str">
        <f t="array" ref="I31">XLOOKUP(G31,Label!$A$2:$A$309, Label!$B$2:$B$309)</f>
        <v>OutOfScope: Duplicates</v>
      </c>
      <c r="J31" s="7" t="str">
        <f t="array" ref="J31">XLOOKUP(G31,Label!$A$2:$A$309, Label!$C$2:$C$309)</f>
        <v/>
      </c>
    </row>
    <row r="32">
      <c r="A32" s="5" t="s">
        <v>10</v>
      </c>
      <c r="B32" s="7" t="str">
        <f t="shared" si="1"/>
        <v>OK</v>
      </c>
      <c r="C32" s="6" t="s">
        <v>49</v>
      </c>
      <c r="E32" s="7" t="str">
        <f t="shared" si="2"/>
        <v>OK</v>
      </c>
      <c r="G32" s="6" t="s">
        <v>49</v>
      </c>
      <c r="H32" s="7" t="str">
        <f t="shared" si="3"/>
        <v>OK</v>
      </c>
      <c r="I32" s="7" t="str">
        <f t="array" ref="I32">XLOOKUP(G32,Label!$A$2:$A$309, Label!$B$2:$B$309)</f>
        <v>OutOfScope: New Story</v>
      </c>
      <c r="J32" s="7" t="str">
        <f t="array" ref="J32">XLOOKUP(G32,Label!$A$2:$A$309, Label!$C$2:$C$309)</f>
        <v/>
      </c>
    </row>
    <row r="33">
      <c r="A33" s="5" t="s">
        <v>12</v>
      </c>
      <c r="B33" s="7" t="str">
        <f t="shared" si="1"/>
        <v>OK</v>
      </c>
      <c r="C33" s="6" t="s">
        <v>50</v>
      </c>
      <c r="E33" s="7" t="str">
        <f t="shared" si="2"/>
        <v>OK</v>
      </c>
      <c r="G33" s="6" t="s">
        <v>50</v>
      </c>
      <c r="H33" s="7" t="str">
        <f t="shared" si="3"/>
        <v>OK</v>
      </c>
      <c r="I33" s="7" t="str">
        <f t="array" ref="I33">XLOOKUP(G33,Label!$A$2:$A$309, Label!$B$2:$B$309)</f>
        <v>Box Size Changed</v>
      </c>
      <c r="J33" s="7" t="str">
        <f t="array" ref="J33">XLOOKUP(G33,Label!$A$2:$A$309, Label!$C$2:$C$309)</f>
        <v/>
      </c>
    </row>
    <row r="34">
      <c r="A34" s="5" t="s">
        <v>13</v>
      </c>
      <c r="B34" s="7" t="str">
        <f t="shared" si="1"/>
        <v>OK</v>
      </c>
      <c r="C34" s="6" t="s">
        <v>52</v>
      </c>
      <c r="E34" s="7" t="str">
        <f t="shared" si="2"/>
        <v>OK</v>
      </c>
      <c r="G34" s="6" t="s">
        <v>52</v>
      </c>
      <c r="H34" s="7" t="str">
        <f t="shared" si="3"/>
        <v>OK</v>
      </c>
      <c r="I34" s="7" t="str">
        <f t="array" ref="I34">XLOOKUP(G34,Label!$A$2:$A$309, Label!$B$2:$B$309)</f>
        <v>OutOfScope: Not VRT Discussion</v>
      </c>
      <c r="J34" s="7" t="str">
        <f t="array" ref="J34">XLOOKUP(G34,Label!$A$2:$A$309, Label!$C$2:$C$309)</f>
        <v/>
      </c>
    </row>
    <row r="35">
      <c r="A35" s="5" t="s">
        <v>15</v>
      </c>
      <c r="B35" s="7" t="str">
        <f t="shared" si="1"/>
        <v>OK</v>
      </c>
      <c r="C35" s="6" t="s">
        <v>54</v>
      </c>
      <c r="E35" s="7" t="str">
        <f t="shared" si="2"/>
        <v>OK</v>
      </c>
      <c r="G35" s="6" t="s">
        <v>54</v>
      </c>
      <c r="H35" s="7" t="str">
        <f t="shared" si="3"/>
        <v>OK</v>
      </c>
      <c r="I35" s="7" t="str">
        <f t="array" ref="I35">XLOOKUP(G35,Label!$A$2:$A$309, Label!$B$2:$B$309)</f>
        <v>Layout Shifted</v>
      </c>
      <c r="J35" s="7" t="str">
        <f t="array" ref="J35">XLOOKUP(G35,Label!$A$2:$A$309, Label!$C$2:$C$309)</f>
        <v/>
      </c>
    </row>
    <row r="36">
      <c r="A36" s="5" t="s">
        <v>16</v>
      </c>
      <c r="B36" s="7" t="str">
        <f t="shared" si="1"/>
        <v>OK</v>
      </c>
      <c r="C36" s="6" t="s">
        <v>55</v>
      </c>
      <c r="E36" s="7" t="str">
        <f t="shared" si="2"/>
        <v>OK</v>
      </c>
      <c r="G36" s="6" t="s">
        <v>55</v>
      </c>
      <c r="H36" s="7" t="str">
        <f t="shared" si="3"/>
        <v>OK</v>
      </c>
      <c r="I36" s="7" t="str">
        <f t="array" ref="I36">XLOOKUP(G36,Label!$A$2:$A$309, Label!$B$2:$B$309)</f>
        <v>OutOfScope: New Story</v>
      </c>
      <c r="J36" s="7" t="str">
        <f t="array" ref="J36">XLOOKUP(G36,Label!$A$2:$A$309, Label!$C$2:$C$309)</f>
        <v/>
      </c>
    </row>
    <row r="37">
      <c r="A37" s="5" t="s">
        <v>17</v>
      </c>
      <c r="B37" s="7" t="str">
        <f t="shared" si="1"/>
        <v>OK</v>
      </c>
      <c r="C37" s="6" t="s">
        <v>56</v>
      </c>
      <c r="E37" s="7" t="str">
        <f t="shared" si="2"/>
        <v>OK</v>
      </c>
      <c r="G37" s="6" t="s">
        <v>56</v>
      </c>
      <c r="H37" s="7" t="str">
        <f t="shared" si="3"/>
        <v>OK</v>
      </c>
      <c r="I37" s="7" t="str">
        <f t="array" ref="I37">XLOOKUP(G37,Label!$A$2:$A$309, Label!$B$2:$B$309)</f>
        <v>OutOfScope: New Story</v>
      </c>
      <c r="J37" s="7" t="str">
        <f t="array" ref="J37">XLOOKUP(G37,Label!$A$2:$A$309, Label!$C$2:$C$309)</f>
        <v/>
      </c>
    </row>
    <row r="38">
      <c r="A38" s="5" t="s">
        <v>19</v>
      </c>
      <c r="B38" s="7" t="str">
        <f t="shared" si="1"/>
        <v>OK</v>
      </c>
      <c r="C38" s="6" t="s">
        <v>57</v>
      </c>
      <c r="E38" s="7" t="str">
        <f t="shared" si="2"/>
        <v>OK</v>
      </c>
      <c r="G38" s="6" t="s">
        <v>57</v>
      </c>
      <c r="H38" s="7" t="str">
        <f t="shared" si="3"/>
        <v>OK</v>
      </c>
      <c r="I38" s="7" t="str">
        <f t="array" ref="I38">XLOOKUP(G38,Label!$A$2:$A$309, Label!$B$2:$B$309)</f>
        <v>OutOfScope: New Story</v>
      </c>
      <c r="J38" s="7" t="str">
        <f t="array" ref="J38">XLOOKUP(G38,Label!$A$2:$A$309, Label!$C$2:$C$309)</f>
        <v/>
      </c>
    </row>
    <row r="39">
      <c r="A39" s="5" t="s">
        <v>21</v>
      </c>
      <c r="B39" s="7" t="str">
        <f t="shared" si="1"/>
        <v>OK</v>
      </c>
      <c r="C39" s="6" t="s">
        <v>58</v>
      </c>
      <c r="E39" s="7" t="str">
        <f t="shared" si="2"/>
        <v>OK</v>
      </c>
      <c r="G39" s="6" t="s">
        <v>58</v>
      </c>
      <c r="H39" s="7" t="str">
        <f t="shared" si="3"/>
        <v>OK</v>
      </c>
      <c r="I39" s="7" t="str">
        <f t="array" ref="I39">XLOOKUP(G39,Label!$A$2:$A$309, Label!$B$2:$B$309)</f>
        <v>OutOfScope: New Story</v>
      </c>
      <c r="J39" s="7" t="str">
        <f t="array" ref="J39">XLOOKUP(G39,Label!$A$2:$A$309, Label!$C$2:$C$309)</f>
        <v/>
      </c>
    </row>
    <row r="40">
      <c r="A40" s="5" t="s">
        <v>24</v>
      </c>
      <c r="B40" s="7" t="str">
        <f t="shared" si="1"/>
        <v>OK</v>
      </c>
      <c r="C40" s="6" t="s">
        <v>59</v>
      </c>
      <c r="E40" s="7" t="str">
        <f t="shared" si="2"/>
        <v>OK</v>
      </c>
      <c r="G40" s="6" t="s">
        <v>59</v>
      </c>
      <c r="H40" s="7" t="str">
        <f t="shared" si="3"/>
        <v>OK</v>
      </c>
      <c r="I40" s="7" t="str">
        <f t="array" ref="I40">XLOOKUP(G40,Label!$A$2:$A$309, Label!$B$2:$B$309)</f>
        <v>OutOfScope: Duplicates</v>
      </c>
      <c r="J40" s="7" t="str">
        <f t="array" ref="J40">XLOOKUP(G40,Label!$A$2:$A$309, Label!$C$2:$C$309)</f>
        <v/>
      </c>
    </row>
    <row r="41">
      <c r="A41" s="5" t="s">
        <v>25</v>
      </c>
      <c r="B41" s="7" t="str">
        <f t="shared" si="1"/>
        <v>OK</v>
      </c>
      <c r="C41" s="6" t="s">
        <v>60</v>
      </c>
      <c r="E41" s="7" t="str">
        <f t="shared" si="2"/>
        <v>OK</v>
      </c>
      <c r="G41" s="6" t="s">
        <v>60</v>
      </c>
      <c r="H41" s="7" t="str">
        <f t="shared" si="3"/>
        <v>OK</v>
      </c>
      <c r="I41" s="7" t="str">
        <f t="array" ref="I41">XLOOKUP(G41,Label!$A$2:$A$309, Label!$B$2:$B$309)</f>
        <v>Undefined/Wrong State is Shown</v>
      </c>
      <c r="J41" s="7" t="str">
        <f t="array" ref="J41">XLOOKUP(G41,Label!$A$2:$A$309, Label!$C$2:$C$309)</f>
        <v/>
      </c>
    </row>
    <row r="42">
      <c r="A42" s="5" t="s">
        <v>28</v>
      </c>
      <c r="B42" s="7" t="str">
        <f t="shared" si="1"/>
        <v>OK</v>
      </c>
      <c r="C42" s="6" t="s">
        <v>61</v>
      </c>
      <c r="E42" s="7" t="str">
        <f t="shared" si="2"/>
        <v>OK</v>
      </c>
      <c r="G42" s="6" t="s">
        <v>61</v>
      </c>
      <c r="H42" s="7" t="str">
        <f t="shared" si="3"/>
        <v>OK</v>
      </c>
      <c r="I42" s="7" t="str">
        <f t="array" ref="I42">XLOOKUP(G42,Label!$A$2:$A$309, Label!$B$2:$B$309)</f>
        <v>New Contents</v>
      </c>
      <c r="J42" s="7" t="str">
        <f t="array" ref="J42">XLOOKUP(G42,Label!$A$2:$A$309, Label!$C$2:$C$309)</f>
        <v/>
      </c>
    </row>
    <row r="43">
      <c r="A43" s="5" t="s">
        <v>29</v>
      </c>
      <c r="B43" s="7" t="str">
        <f t="shared" si="1"/>
        <v>OK</v>
      </c>
      <c r="C43" s="6" t="s">
        <v>62</v>
      </c>
      <c r="E43" s="7" t="str">
        <f t="shared" si="2"/>
        <v>OK</v>
      </c>
      <c r="G43" s="6" t="s">
        <v>62</v>
      </c>
      <c r="H43" s="7" t="str">
        <f t="shared" si="3"/>
        <v>OK</v>
      </c>
      <c r="I43" s="7" t="str">
        <f t="array" ref="I43">XLOOKUP(G43,Label!$A$2:$A$309, Label!$B$2:$B$309)</f>
        <v>Text Color Changed</v>
      </c>
      <c r="J43" s="7" t="str">
        <f t="array" ref="J43">XLOOKUP(G43,Label!$A$2:$A$309, Label!$C$2:$C$309)</f>
        <v/>
      </c>
    </row>
    <row r="44">
      <c r="A44" s="5" t="s">
        <v>30</v>
      </c>
      <c r="B44" s="7" t="str">
        <f t="shared" si="1"/>
        <v>OK</v>
      </c>
      <c r="C44" s="6" t="s">
        <v>64</v>
      </c>
      <c r="E44" s="7" t="str">
        <f t="shared" si="2"/>
        <v>OK</v>
      </c>
      <c r="G44" s="6" t="s">
        <v>64</v>
      </c>
      <c r="H44" s="7" t="str">
        <f t="shared" si="3"/>
        <v>OK</v>
      </c>
      <c r="I44" s="7" t="str">
        <f t="array" ref="I44">XLOOKUP(G44,Label!$A$2:$A$309, Label!$B$2:$B$309)</f>
        <v>Size of Page/Header Changed</v>
      </c>
      <c r="J44" s="7" t="str">
        <f t="array" ref="J44">XLOOKUP(G44,Label!$A$2:$A$309, Label!$C$2:$C$309)</f>
        <v/>
      </c>
    </row>
    <row r="45">
      <c r="A45" s="5" t="s">
        <v>32</v>
      </c>
      <c r="B45" s="7" t="str">
        <f t="shared" si="1"/>
        <v>OK</v>
      </c>
      <c r="C45" s="6" t="s">
        <v>65</v>
      </c>
      <c r="E45" s="7" t="str">
        <f t="shared" si="2"/>
        <v>OK</v>
      </c>
      <c r="G45" s="6" t="s">
        <v>65</v>
      </c>
      <c r="H45" s="7" t="str">
        <f t="shared" si="3"/>
        <v>OK</v>
      </c>
      <c r="I45" s="7" t="str">
        <f t="array" ref="I45">XLOOKUP(G45,Label!$A$2:$A$309, Label!$B$2:$B$309)</f>
        <v>OutOfScope: Duplicates</v>
      </c>
      <c r="J45" s="7" t="str">
        <f t="array" ref="J45">XLOOKUP(G45,Label!$A$2:$A$309, Label!$C$2:$C$309)</f>
        <v/>
      </c>
    </row>
    <row r="46">
      <c r="A46" s="5" t="s">
        <v>33</v>
      </c>
      <c r="B46" s="7" t="str">
        <f t="shared" si="1"/>
        <v>OK</v>
      </c>
      <c r="C46" s="6" t="s">
        <v>66</v>
      </c>
      <c r="E46" s="7" t="str">
        <f t="shared" si="2"/>
        <v>OK</v>
      </c>
      <c r="G46" s="6" t="s">
        <v>66</v>
      </c>
      <c r="H46" s="7" t="str">
        <f t="shared" si="3"/>
        <v>OK</v>
      </c>
      <c r="I46" s="7" t="str">
        <f t="array" ref="I46">XLOOKUP(G46,Label!$A$2:$A$309, Label!$B$2:$B$309)</f>
        <v>New Contents</v>
      </c>
      <c r="J46" s="7" t="str">
        <f t="array" ref="J46">XLOOKUP(G46,Label!$A$2:$A$309, Label!$C$2:$C$309)</f>
        <v/>
      </c>
    </row>
    <row r="47">
      <c r="A47" s="5" t="s">
        <v>35</v>
      </c>
      <c r="B47" s="7" t="str">
        <f t="shared" si="1"/>
        <v>OK</v>
      </c>
      <c r="C47" s="6" t="s">
        <v>67</v>
      </c>
      <c r="E47" s="7" t="str">
        <f t="shared" si="2"/>
        <v>OK</v>
      </c>
      <c r="G47" s="6" t="s">
        <v>67</v>
      </c>
      <c r="H47" s="7" t="str">
        <f t="shared" si="3"/>
        <v>OK</v>
      </c>
      <c r="I47" s="7" t="str">
        <f t="array" ref="I47">XLOOKUP(G47,Label!$A$2:$A$309, Label!$B$2:$B$309)</f>
        <v>Default State is Changed</v>
      </c>
      <c r="J47" s="7" t="str">
        <f t="array" ref="J47">XLOOKUP(G47,Label!$A$2:$A$309, Label!$C$2:$C$309)</f>
        <v/>
      </c>
    </row>
    <row r="48">
      <c r="A48" s="5" t="s">
        <v>36</v>
      </c>
      <c r="B48" s="7" t="str">
        <f t="shared" si="1"/>
        <v>OK</v>
      </c>
      <c r="C48" s="6" t="s">
        <v>68</v>
      </c>
      <c r="E48" s="7" t="str">
        <f t="shared" si="2"/>
        <v>OK</v>
      </c>
      <c r="G48" s="6" t="s">
        <v>68</v>
      </c>
      <c r="H48" s="7" t="str">
        <f t="shared" si="3"/>
        <v>OK</v>
      </c>
      <c r="I48" s="7" t="str">
        <f t="array" ref="I48">XLOOKUP(G48,Label!$A$2:$A$309, Label!$B$2:$B$309)</f>
        <v>OutOfScope: New Story</v>
      </c>
      <c r="J48" s="7" t="str">
        <f t="array" ref="J48">XLOOKUP(G48,Label!$A$2:$A$309, Label!$C$2:$C$309)</f>
        <v/>
      </c>
    </row>
    <row r="49">
      <c r="A49" s="5" t="s">
        <v>37</v>
      </c>
      <c r="B49" s="7" t="str">
        <f t="shared" si="1"/>
        <v>OK</v>
      </c>
      <c r="C49" s="6" t="s">
        <v>69</v>
      </c>
      <c r="E49" s="7" t="str">
        <f t="shared" si="2"/>
        <v>OK</v>
      </c>
      <c r="G49" s="3" t="s">
        <v>69</v>
      </c>
      <c r="H49" s="7" t="str">
        <f t="shared" si="3"/>
        <v>OK</v>
      </c>
      <c r="I49" s="7" t="str">
        <f t="array" ref="I49">XLOOKUP(G49,Label!$A$2:$A$309, Label!$B$2:$B$309)</f>
        <v>Not sure</v>
      </c>
      <c r="J49" s="7" t="str">
        <f t="array" ref="J49">XLOOKUP(G49,Label!$A$2:$A$309, Label!$C$2:$C$309)</f>
        <v/>
      </c>
    </row>
    <row r="50">
      <c r="A50" s="5" t="s">
        <v>38</v>
      </c>
      <c r="B50" s="7" t="str">
        <f t="shared" si="1"/>
        <v>OK</v>
      </c>
      <c r="C50" s="6" t="s">
        <v>71</v>
      </c>
      <c r="E50" s="7" t="str">
        <f t="shared" si="2"/>
        <v>OK</v>
      </c>
      <c r="G50" s="6" t="s">
        <v>71</v>
      </c>
      <c r="H50" s="7" t="str">
        <f t="shared" si="3"/>
        <v>OK</v>
      </c>
      <c r="I50" s="7" t="str">
        <f t="array" ref="I50">XLOOKUP(G50,Label!$A$2:$A$309, Label!$B$2:$B$309)</f>
        <v>Layout Changed</v>
      </c>
      <c r="J50" s="7" t="str">
        <f t="array" ref="J50">XLOOKUP(G50,Label!$A$2:$A$309, Label!$C$2:$C$309)</f>
        <v/>
      </c>
    </row>
    <row r="51">
      <c r="A51" s="5" t="s">
        <v>39</v>
      </c>
      <c r="B51" s="7" t="str">
        <f t="shared" si="1"/>
        <v>OK</v>
      </c>
      <c r="C51" s="6" t="s">
        <v>72</v>
      </c>
      <c r="E51" s="7" t="str">
        <f t="shared" si="2"/>
        <v>OK</v>
      </c>
      <c r="G51" s="6" t="s">
        <v>72</v>
      </c>
      <c r="H51" s="7" t="str">
        <f t="shared" si="3"/>
        <v>OK</v>
      </c>
      <c r="I51" s="7" t="str">
        <f t="array" ref="I51">XLOOKUP(G51,Label!$A$2:$A$309, Label!$B$2:$B$309)</f>
        <v>OutOfScope: New Story</v>
      </c>
      <c r="J51" s="7" t="str">
        <f t="array" ref="J51">XLOOKUP(G51,Label!$A$2:$A$309, Label!$C$2:$C$309)</f>
        <v/>
      </c>
    </row>
    <row r="52">
      <c r="A52" s="5" t="s">
        <v>40</v>
      </c>
      <c r="B52" s="7" t="str">
        <f t="shared" si="1"/>
        <v>OK</v>
      </c>
      <c r="C52" s="6" t="s">
        <v>73</v>
      </c>
      <c r="E52" s="7" t="str">
        <f t="shared" si="2"/>
        <v>OK</v>
      </c>
      <c r="G52" s="6" t="s">
        <v>73</v>
      </c>
      <c r="H52" s="7" t="str">
        <f t="shared" si="3"/>
        <v>OK</v>
      </c>
      <c r="I52" s="7" t="str">
        <f t="array" ref="I52">XLOOKUP(G52,Label!$A$2:$A$309, Label!$B$2:$B$309)</f>
        <v>Size of Page/Header Changed</v>
      </c>
      <c r="J52" s="7" t="str">
        <f t="array" ref="J52">XLOOKUP(G52,Label!$A$2:$A$309, Label!$C$2:$C$309)</f>
        <v/>
      </c>
    </row>
    <row r="53">
      <c r="A53" s="5" t="s">
        <v>41</v>
      </c>
      <c r="B53" s="7" t="str">
        <f t="shared" si="1"/>
        <v>OK</v>
      </c>
      <c r="C53" s="6" t="s">
        <v>74</v>
      </c>
      <c r="E53" s="7" t="str">
        <f t="shared" si="2"/>
        <v>OK</v>
      </c>
      <c r="G53" s="6" t="s">
        <v>74</v>
      </c>
      <c r="H53" s="7" t="str">
        <f t="shared" si="3"/>
        <v>OK</v>
      </c>
      <c r="I53" s="7" t="str">
        <f t="array" ref="I53">XLOOKUP(G53,Label!$A$2:$A$309, Label!$B$2:$B$309)</f>
        <v>Contents of Text Changed</v>
      </c>
      <c r="J53" s="7" t="str">
        <f t="array" ref="J53">XLOOKUP(G53,Label!$A$2:$A$309, Label!$C$2:$C$309)</f>
        <v/>
      </c>
    </row>
    <row r="54">
      <c r="A54" s="5" t="s">
        <v>42</v>
      </c>
      <c r="B54" s="7" t="str">
        <f t="shared" si="1"/>
        <v>OK</v>
      </c>
      <c r="C54" s="6" t="s">
        <v>76</v>
      </c>
      <c r="E54" s="7" t="str">
        <f t="shared" si="2"/>
        <v>OK</v>
      </c>
      <c r="G54" s="6" t="s">
        <v>76</v>
      </c>
      <c r="H54" s="7" t="str">
        <f t="shared" si="3"/>
        <v>OK</v>
      </c>
      <c r="I54" s="7" t="str">
        <f t="array" ref="I54">XLOOKUP(G54,Label!$A$2:$A$309, Label!$B$2:$B$309)</f>
        <v>Layout Shifted</v>
      </c>
      <c r="J54" s="7" t="str">
        <f t="array" ref="J54">XLOOKUP(G54,Label!$A$2:$A$309, Label!$C$2:$C$309)</f>
        <v/>
      </c>
    </row>
    <row r="55">
      <c r="A55" s="5" t="s">
        <v>44</v>
      </c>
      <c r="B55" s="7" t="str">
        <f t="shared" si="1"/>
        <v>OK</v>
      </c>
      <c r="C55" s="6" t="s">
        <v>77</v>
      </c>
      <c r="E55" s="7" t="str">
        <f t="shared" si="2"/>
        <v>OK</v>
      </c>
      <c r="G55" s="6" t="s">
        <v>77</v>
      </c>
      <c r="H55" s="7" t="str">
        <f t="shared" si="3"/>
        <v>OK</v>
      </c>
      <c r="I55" s="7" t="str">
        <f t="array" ref="I55">XLOOKUP(G55,Label!$A$2:$A$309, Label!$B$2:$B$309)</f>
        <v>OutOfScope: New Story</v>
      </c>
      <c r="J55" s="7" t="str">
        <f t="array" ref="J55">XLOOKUP(G55,Label!$A$2:$A$309, Label!$C$2:$C$309)</f>
        <v/>
      </c>
    </row>
    <row r="56">
      <c r="A56" s="5" t="s">
        <v>46</v>
      </c>
      <c r="B56" s="7" t="str">
        <f t="shared" si="1"/>
        <v>OK</v>
      </c>
      <c r="C56" s="6" t="s">
        <v>78</v>
      </c>
      <c r="E56" s="7" t="str">
        <f t="shared" si="2"/>
        <v>OK</v>
      </c>
      <c r="G56" s="6" t="s">
        <v>78</v>
      </c>
      <c r="H56" s="7" t="str">
        <f t="shared" si="3"/>
        <v>OK</v>
      </c>
      <c r="I56" s="7" t="str">
        <f t="array" ref="I56">XLOOKUP(G56,Label!$A$2:$A$309, Label!$B$2:$B$309)</f>
        <v>OutOfScope: Cannot access</v>
      </c>
      <c r="J56" s="7" t="str">
        <f t="array" ref="J56">XLOOKUP(G56,Label!$A$2:$A$309, Label!$C$2:$C$309)</f>
        <v/>
      </c>
    </row>
    <row r="57">
      <c r="A57" s="5" t="s">
        <v>47</v>
      </c>
      <c r="B57" s="7" t="str">
        <f t="shared" si="1"/>
        <v>OK</v>
      </c>
      <c r="C57" s="6" t="s">
        <v>79</v>
      </c>
      <c r="E57" s="7" t="str">
        <f t="shared" si="2"/>
        <v>OK</v>
      </c>
      <c r="G57" s="6" t="s">
        <v>79</v>
      </c>
      <c r="H57" s="7" t="str">
        <f t="shared" si="3"/>
        <v>OK</v>
      </c>
      <c r="I57" s="7" t="str">
        <f t="array" ref="I57">XLOOKUP(G57,Label!$A$2:$A$309, Label!$B$2:$B$309)</f>
        <v>OutOfScope: Not VRT Discussion</v>
      </c>
      <c r="J57" s="7" t="str">
        <f t="array" ref="J57">XLOOKUP(G57,Label!$A$2:$A$309, Label!$C$2:$C$309)</f>
        <v/>
      </c>
    </row>
    <row r="58">
      <c r="A58" s="5" t="s">
        <v>48</v>
      </c>
      <c r="B58" s="7" t="str">
        <f t="shared" si="1"/>
        <v>OK</v>
      </c>
      <c r="C58" s="6" t="s">
        <v>80</v>
      </c>
      <c r="E58" s="7" t="str">
        <f t="shared" si="2"/>
        <v>OK</v>
      </c>
      <c r="G58" s="6" t="s">
        <v>80</v>
      </c>
      <c r="H58" s="7" t="str">
        <f t="shared" si="3"/>
        <v>OK</v>
      </c>
      <c r="I58" s="7" t="str">
        <f t="array" ref="I58">XLOOKUP(G58,Label!$A$2:$A$309, Label!$B$2:$B$309)</f>
        <v>OutOfScope: New Story</v>
      </c>
      <c r="J58" s="7" t="str">
        <f t="array" ref="J58">XLOOKUP(G58,Label!$A$2:$A$309, Label!$C$2:$C$309)</f>
        <v/>
      </c>
    </row>
    <row r="59">
      <c r="A59" s="5" t="s">
        <v>49</v>
      </c>
      <c r="B59" s="7" t="str">
        <f t="shared" si="1"/>
        <v>OK</v>
      </c>
      <c r="C59" s="6" t="s">
        <v>81</v>
      </c>
      <c r="E59" s="7" t="str">
        <f t="shared" si="2"/>
        <v>OK</v>
      </c>
      <c r="G59" s="6" t="s">
        <v>81</v>
      </c>
      <c r="H59" s="7" t="str">
        <f t="shared" si="3"/>
        <v>OK</v>
      </c>
      <c r="I59" s="7" t="str">
        <f t="array" ref="I59">XLOOKUP(G59,Label!$A$2:$A$309, Label!$B$2:$B$309)</f>
        <v>OutOfScope: New Story</v>
      </c>
      <c r="J59" s="7" t="str">
        <f t="array" ref="J59">XLOOKUP(G59,Label!$A$2:$A$309, Label!$C$2:$C$309)</f>
        <v/>
      </c>
    </row>
    <row r="60">
      <c r="A60" s="5" t="s">
        <v>50</v>
      </c>
      <c r="B60" s="7" t="str">
        <f t="shared" si="1"/>
        <v>OK</v>
      </c>
      <c r="C60" s="6" t="s">
        <v>82</v>
      </c>
      <c r="E60" s="7" t="str">
        <f t="shared" si="2"/>
        <v>OK</v>
      </c>
      <c r="G60" s="6" t="s">
        <v>82</v>
      </c>
      <c r="H60" s="7" t="str">
        <f t="shared" si="3"/>
        <v>OK</v>
      </c>
      <c r="I60" s="7" t="str">
        <f t="array" ref="I60">XLOOKUP(G60,Label!$A$2:$A$309, Label!$B$2:$B$309)</f>
        <v>Contents of Text Changed</v>
      </c>
      <c r="J60" s="7" t="str">
        <f t="array" ref="J60">XLOOKUP(G60,Label!$A$2:$A$309, Label!$C$2:$C$309)</f>
        <v/>
      </c>
    </row>
    <row r="61">
      <c r="A61" s="5" t="s">
        <v>52</v>
      </c>
      <c r="B61" s="7" t="str">
        <f t="shared" si="1"/>
        <v>OK</v>
      </c>
      <c r="C61" s="6" t="s">
        <v>83</v>
      </c>
      <c r="E61" s="7" t="str">
        <f t="shared" si="2"/>
        <v>OK</v>
      </c>
      <c r="G61" s="6" t="s">
        <v>83</v>
      </c>
      <c r="H61" s="7" t="str">
        <f t="shared" si="3"/>
        <v>OK</v>
      </c>
      <c r="I61" s="7" t="str">
        <f t="array" ref="I61">XLOOKUP(G61,Label!$A$2:$A$309, Label!$B$2:$B$309)</f>
        <v>Box Color Changed</v>
      </c>
      <c r="J61" s="7" t="str">
        <f t="array" ref="J61">XLOOKUP(G61,Label!$A$2:$A$309, Label!$C$2:$C$309)</f>
        <v/>
      </c>
    </row>
    <row r="62">
      <c r="A62" s="5" t="s">
        <v>54</v>
      </c>
      <c r="B62" s="7" t="str">
        <f t="shared" si="1"/>
        <v>OK</v>
      </c>
      <c r="C62" s="6" t="s">
        <v>84</v>
      </c>
      <c r="E62" s="7" t="str">
        <f t="shared" si="2"/>
        <v>OK</v>
      </c>
      <c r="G62" s="6" t="s">
        <v>84</v>
      </c>
      <c r="H62" s="7" t="str">
        <f t="shared" si="3"/>
        <v>OK</v>
      </c>
      <c r="I62" s="7" t="str">
        <f t="array" ref="I62">XLOOKUP(G62,Label!$A$2:$A$309, Label!$B$2:$B$309)</f>
        <v>Image Adjusted</v>
      </c>
      <c r="J62" s="7" t="str">
        <f t="array" ref="J62">XLOOKUP(G62,Label!$A$2:$A$309, Label!$C$2:$C$309)</f>
        <v/>
      </c>
    </row>
    <row r="63">
      <c r="A63" s="5" t="s">
        <v>55</v>
      </c>
      <c r="B63" s="7" t="str">
        <f t="shared" si="1"/>
        <v>OK</v>
      </c>
      <c r="C63" s="6" t="s">
        <v>86</v>
      </c>
      <c r="E63" s="7" t="str">
        <f t="shared" si="2"/>
        <v>OK</v>
      </c>
      <c r="G63" s="6" t="s">
        <v>86</v>
      </c>
      <c r="H63" s="7" t="str">
        <f t="shared" si="3"/>
        <v>OK</v>
      </c>
      <c r="I63" s="7" t="str">
        <f t="array" ref="I63">XLOOKUP(G63,Label!$A$2:$A$309, Label!$B$2:$B$309)</f>
        <v>OutOfScope: New Story</v>
      </c>
      <c r="J63" s="7" t="str">
        <f t="array" ref="J63">XLOOKUP(G63,Label!$A$2:$A$309, Label!$C$2:$C$309)</f>
        <v/>
      </c>
    </row>
    <row r="64">
      <c r="A64" s="5" t="s">
        <v>56</v>
      </c>
      <c r="B64" s="7" t="str">
        <f t="shared" si="1"/>
        <v>OK</v>
      </c>
      <c r="C64" s="6" t="s">
        <v>87</v>
      </c>
      <c r="E64" s="7" t="str">
        <f t="shared" si="2"/>
        <v>OK</v>
      </c>
      <c r="G64" s="6" t="s">
        <v>87</v>
      </c>
      <c r="H64" s="7" t="str">
        <f t="shared" si="3"/>
        <v>OK</v>
      </c>
      <c r="I64" s="7" t="str">
        <f t="array" ref="I64">XLOOKUP(G64,Label!$A$2:$A$309, Label!$B$2:$B$309)</f>
        <v>Size of Page/Header Changed</v>
      </c>
      <c r="J64" s="7" t="str">
        <f t="array" ref="J64">XLOOKUP(G64,Label!$A$2:$A$309, Label!$C$2:$C$309)</f>
        <v/>
      </c>
    </row>
    <row r="65">
      <c r="A65" s="5" t="s">
        <v>57</v>
      </c>
      <c r="B65" s="7" t="str">
        <f t="shared" si="1"/>
        <v>OK</v>
      </c>
      <c r="C65" s="6" t="s">
        <v>88</v>
      </c>
      <c r="E65" s="7" t="str">
        <f t="shared" si="2"/>
        <v>OK</v>
      </c>
      <c r="G65" s="6" t="s">
        <v>88</v>
      </c>
      <c r="H65" s="7" t="str">
        <f t="shared" si="3"/>
        <v>OK</v>
      </c>
      <c r="I65" s="7" t="str">
        <f t="array" ref="I65">XLOOKUP(G65,Label!$A$2:$A$309, Label!$B$2:$B$309)</f>
        <v>Text Disappeared</v>
      </c>
      <c r="J65" s="7" t="str">
        <f t="array" ref="J65">XLOOKUP(G65,Label!$A$2:$A$309, Label!$C$2:$C$309)</f>
        <v/>
      </c>
    </row>
    <row r="66">
      <c r="A66" s="5" t="s">
        <v>58</v>
      </c>
      <c r="B66" s="7" t="str">
        <f t="shared" si="1"/>
        <v>OK</v>
      </c>
      <c r="C66" s="6" t="s">
        <v>89</v>
      </c>
      <c r="E66" s="7" t="str">
        <f t="shared" si="2"/>
        <v>OK</v>
      </c>
      <c r="G66" s="6" t="s">
        <v>89</v>
      </c>
      <c r="H66" s="7" t="str">
        <f t="shared" si="3"/>
        <v>OK</v>
      </c>
      <c r="I66" s="7" t="str">
        <f t="array" ref="I66">XLOOKUP(G66,Label!$A$2:$A$309, Label!$B$2:$B$309)</f>
        <v>OutOfScope: New Story</v>
      </c>
      <c r="J66" s="7" t="str">
        <f t="array" ref="J66">XLOOKUP(G66,Label!$A$2:$A$309, Label!$C$2:$C$309)</f>
        <v/>
      </c>
    </row>
    <row r="67">
      <c r="A67" s="5" t="s">
        <v>59</v>
      </c>
      <c r="B67" s="7" t="str">
        <f t="shared" si="1"/>
        <v>OK</v>
      </c>
      <c r="C67" s="6" t="s">
        <v>90</v>
      </c>
      <c r="E67" s="7" t="str">
        <f t="shared" si="2"/>
        <v>OK</v>
      </c>
      <c r="G67" s="6" t="s">
        <v>90</v>
      </c>
      <c r="H67" s="7" t="str">
        <f t="shared" si="3"/>
        <v>OK</v>
      </c>
      <c r="I67" s="7" t="str">
        <f t="array" ref="I67">XLOOKUP(G67,Label!$A$2:$A$309, Label!$B$2:$B$309)</f>
        <v>OutOfScope: Chromatic Error</v>
      </c>
      <c r="J67" s="7" t="str">
        <f t="array" ref="J67">XLOOKUP(G67,Label!$A$2:$A$309, Label!$C$2:$C$309)</f>
        <v/>
      </c>
    </row>
    <row r="68">
      <c r="A68" s="5" t="s">
        <v>60</v>
      </c>
      <c r="B68" s="7" t="str">
        <f t="shared" si="1"/>
        <v>OK</v>
      </c>
      <c r="C68" s="6" t="s">
        <v>92</v>
      </c>
      <c r="E68" s="7" t="str">
        <f t="shared" si="2"/>
        <v>OK</v>
      </c>
      <c r="G68" s="6" t="s">
        <v>92</v>
      </c>
      <c r="H68" s="7" t="str">
        <f t="shared" si="3"/>
        <v>OK</v>
      </c>
      <c r="I68" s="7" t="str">
        <f t="array" ref="I68">XLOOKUP(G68,Label!$A$2:$A$309, Label!$B$2:$B$309)</f>
        <v>OutOfScope: Duplicates</v>
      </c>
      <c r="J68" s="7" t="str">
        <f t="array" ref="J68">XLOOKUP(G68,Label!$A$2:$A$309, Label!$C$2:$C$309)</f>
        <v/>
      </c>
    </row>
    <row r="69">
      <c r="A69" s="5" t="s">
        <v>61</v>
      </c>
      <c r="B69" s="7" t="str">
        <f t="shared" si="1"/>
        <v>OK</v>
      </c>
      <c r="C69" s="6" t="s">
        <v>93</v>
      </c>
      <c r="E69" s="7" t="str">
        <f t="shared" si="2"/>
        <v>OK</v>
      </c>
      <c r="G69" s="6" t="s">
        <v>93</v>
      </c>
      <c r="H69" s="7" t="str">
        <f t="shared" si="3"/>
        <v>OK</v>
      </c>
      <c r="I69" s="7" t="str">
        <f t="array" ref="I69">XLOOKUP(G69,Label!$A$2:$A$309, Label!$B$2:$B$309)</f>
        <v>Wrong Border Thickness</v>
      </c>
      <c r="J69" s="7" t="str">
        <f t="array" ref="J69">XLOOKUP(G69,Label!$A$2:$A$309, Label!$C$2:$C$309)</f>
        <v/>
      </c>
    </row>
    <row r="70">
      <c r="A70" s="5" t="s">
        <v>62</v>
      </c>
      <c r="B70" s="7" t="str">
        <f t="shared" si="1"/>
        <v>OK</v>
      </c>
      <c r="C70" s="6" t="s">
        <v>95</v>
      </c>
      <c r="E70" s="7" t="str">
        <f t="shared" si="2"/>
        <v>OK</v>
      </c>
      <c r="G70" s="6" t="s">
        <v>95</v>
      </c>
      <c r="H70" s="7" t="str">
        <f t="shared" si="3"/>
        <v>OK</v>
      </c>
      <c r="I70" s="7" t="str">
        <f t="array" ref="I70">XLOOKUP(G70,Label!$A$2:$A$309, Label!$B$2:$B$309)</f>
        <v>OutOfScope: Duplicates</v>
      </c>
      <c r="J70" s="7" t="str">
        <f t="array" ref="J70">XLOOKUP(G70,Label!$A$2:$A$309, Label!$C$2:$C$309)</f>
        <v/>
      </c>
    </row>
    <row r="71">
      <c r="A71" s="5" t="s">
        <v>64</v>
      </c>
      <c r="B71" s="7" t="str">
        <f t="shared" si="1"/>
        <v>OK</v>
      </c>
      <c r="C71" s="6" t="s">
        <v>96</v>
      </c>
      <c r="E71" s="7" t="str">
        <f t="shared" si="2"/>
        <v>OK</v>
      </c>
      <c r="G71" s="6" t="s">
        <v>96</v>
      </c>
      <c r="H71" s="7" t="str">
        <f t="shared" si="3"/>
        <v>OK</v>
      </c>
      <c r="I71" s="7" t="str">
        <f t="array" ref="I71">XLOOKUP(G71,Label!$A$2:$A$309, Label!$B$2:$B$309)</f>
        <v>New Border Appeared</v>
      </c>
      <c r="J71" s="7" t="str">
        <f t="array" ref="J71">XLOOKUP(G71,Label!$A$2:$A$309, Label!$C$2:$C$309)</f>
        <v/>
      </c>
    </row>
    <row r="72">
      <c r="A72" s="5" t="s">
        <v>65</v>
      </c>
      <c r="B72" s="7" t="str">
        <f t="shared" si="1"/>
        <v>OK</v>
      </c>
      <c r="C72" s="6" t="s">
        <v>98</v>
      </c>
      <c r="E72" s="7" t="str">
        <f t="shared" si="2"/>
        <v>OK</v>
      </c>
      <c r="G72" s="6" t="s">
        <v>98</v>
      </c>
      <c r="H72" s="7" t="str">
        <f t="shared" si="3"/>
        <v>OK</v>
      </c>
      <c r="I72" s="7" t="str">
        <f t="array" ref="I72">XLOOKUP(G72,Label!$A$2:$A$309, Label!$B$2:$B$309)</f>
        <v>OutOfScope: Duplicates</v>
      </c>
      <c r="J72" s="7" t="str">
        <f t="array" ref="J72">XLOOKUP(G72,Label!$A$2:$A$309, Label!$C$2:$C$309)</f>
        <v/>
      </c>
    </row>
    <row r="73">
      <c r="A73" s="5" t="s">
        <v>66</v>
      </c>
      <c r="B73" s="7" t="str">
        <f t="shared" si="1"/>
        <v>OK</v>
      </c>
      <c r="C73" s="6" t="s">
        <v>99</v>
      </c>
      <c r="E73" s="7" t="str">
        <f t="shared" si="2"/>
        <v>OK</v>
      </c>
      <c r="G73" s="6" t="s">
        <v>99</v>
      </c>
      <c r="H73" s="7" t="str">
        <f t="shared" si="3"/>
        <v>OK</v>
      </c>
      <c r="I73" s="7" t="str">
        <f t="array" ref="I73">XLOOKUP(G73,Label!$A$2:$A$309, Label!$B$2:$B$309)</f>
        <v>Text Disappeared</v>
      </c>
      <c r="J73" s="7" t="str">
        <f t="array" ref="J73">XLOOKUP(G73,Label!$A$2:$A$309, Label!$C$2:$C$309)</f>
        <v/>
      </c>
    </row>
    <row r="74">
      <c r="A74" s="5" t="s">
        <v>67</v>
      </c>
      <c r="B74" s="7" t="str">
        <f t="shared" si="1"/>
        <v>OK</v>
      </c>
      <c r="C74" s="6" t="s">
        <v>100</v>
      </c>
      <c r="E74" s="7" t="str">
        <f t="shared" si="2"/>
        <v>OK</v>
      </c>
      <c r="G74" s="6" t="s">
        <v>100</v>
      </c>
      <c r="H74" s="7" t="str">
        <f t="shared" si="3"/>
        <v>OK</v>
      </c>
      <c r="I74" s="7" t="str">
        <f t="array" ref="I74">XLOOKUP(G74,Label!$A$2:$A$309, Label!$B$2:$B$309)</f>
        <v>Not sure</v>
      </c>
      <c r="J74" s="7" t="str">
        <f t="array" ref="J74">XLOOKUP(G74,Label!$A$2:$A$309, Label!$C$2:$C$309)</f>
        <v/>
      </c>
    </row>
    <row r="75">
      <c r="A75" s="5" t="s">
        <v>68</v>
      </c>
      <c r="B75" s="7" t="str">
        <f t="shared" si="1"/>
        <v>OK</v>
      </c>
      <c r="C75" s="6" t="s">
        <v>101</v>
      </c>
      <c r="E75" s="7" t="str">
        <f t="shared" si="2"/>
        <v>OK</v>
      </c>
      <c r="G75" s="6" t="s">
        <v>101</v>
      </c>
      <c r="H75" s="7" t="str">
        <f t="shared" si="3"/>
        <v>OK</v>
      </c>
      <c r="I75" s="7" t="str">
        <f t="array" ref="I75">XLOOKUP(G75,Label!$A$2:$A$309, Label!$B$2:$B$309)</f>
        <v>OutOfScope: Duplicates</v>
      </c>
      <c r="J75" s="7" t="str">
        <f t="array" ref="J75">XLOOKUP(G75,Label!$A$2:$A$309, Label!$C$2:$C$309)</f>
        <v/>
      </c>
    </row>
    <row r="76">
      <c r="A76" s="5" t="s">
        <v>69</v>
      </c>
      <c r="B76" s="7" t="str">
        <f t="shared" si="1"/>
        <v>OK</v>
      </c>
      <c r="C76" s="6" t="s">
        <v>102</v>
      </c>
      <c r="E76" s="7" t="str">
        <f t="shared" si="2"/>
        <v>OK</v>
      </c>
      <c r="G76" s="6" t="s">
        <v>102</v>
      </c>
      <c r="H76" s="7" t="str">
        <f t="shared" si="3"/>
        <v>OK</v>
      </c>
      <c r="I76" s="7" t="str">
        <f t="array" ref="I76">XLOOKUP(G76,Label!$A$2:$A$309, Label!$B$2:$B$309)</f>
        <v>Box Size Changed</v>
      </c>
      <c r="J76" s="7" t="str">
        <f t="array" ref="J76">XLOOKUP(G76,Label!$A$2:$A$309, Label!$C$2:$C$309)</f>
        <v/>
      </c>
    </row>
    <row r="77">
      <c r="A77" s="5" t="s">
        <v>71</v>
      </c>
      <c r="B77" s="7" t="str">
        <f t="shared" si="1"/>
        <v>OK</v>
      </c>
      <c r="C77" s="6" t="s">
        <v>103</v>
      </c>
      <c r="E77" s="7" t="str">
        <f t="shared" si="2"/>
        <v>OK</v>
      </c>
      <c r="G77" s="6" t="s">
        <v>103</v>
      </c>
      <c r="H77" s="7" t="str">
        <f t="shared" si="3"/>
        <v>OK</v>
      </c>
      <c r="I77" s="7" t="str">
        <f t="array" ref="I77">XLOOKUP(G77,Label!$A$2:$A$309, Label!$B$2:$B$309)</f>
        <v>Contents Disappeared</v>
      </c>
      <c r="J77" s="7" t="str">
        <f t="array" ref="J77">XLOOKUP(G77,Label!$A$2:$A$309, Label!$C$2:$C$309)</f>
        <v/>
      </c>
    </row>
    <row r="78">
      <c r="A78" s="5" t="s">
        <v>72</v>
      </c>
      <c r="B78" s="7" t="str">
        <f t="shared" si="1"/>
        <v>OK</v>
      </c>
      <c r="C78" s="6" t="s">
        <v>104</v>
      </c>
      <c r="E78" s="7" t="str">
        <f t="shared" si="2"/>
        <v>OK</v>
      </c>
      <c r="G78" s="6" t="s">
        <v>104</v>
      </c>
      <c r="H78" s="7" t="str">
        <f t="shared" si="3"/>
        <v>OK</v>
      </c>
      <c r="I78" s="7" t="str">
        <f t="array" ref="I78">XLOOKUP(G78,Label!$A$2:$A$309, Label!$B$2:$B$309)</f>
        <v>Layout Shifted</v>
      </c>
      <c r="J78" s="7" t="str">
        <f t="array" ref="J78">XLOOKUP(G78,Label!$A$2:$A$309, Label!$C$2:$C$309)</f>
        <v/>
      </c>
    </row>
    <row r="79">
      <c r="A79" s="5" t="s">
        <v>73</v>
      </c>
      <c r="B79" s="7" t="str">
        <f t="shared" si="1"/>
        <v>OK</v>
      </c>
      <c r="C79" s="6" t="s">
        <v>105</v>
      </c>
      <c r="E79" s="7" t="str">
        <f t="shared" si="2"/>
        <v>OK</v>
      </c>
      <c r="G79" s="6" t="s">
        <v>105</v>
      </c>
      <c r="H79" s="7" t="str">
        <f t="shared" si="3"/>
        <v>OK</v>
      </c>
      <c r="I79" s="7" t="str">
        <f t="array" ref="I79">XLOOKUP(G79,Label!$A$2:$A$309, Label!$B$2:$B$309)</f>
        <v>Text Disappeared</v>
      </c>
      <c r="J79" s="7" t="str">
        <f t="array" ref="J79">XLOOKUP(G79,Label!$A$2:$A$309, Label!$C$2:$C$309)</f>
        <v/>
      </c>
    </row>
    <row r="80">
      <c r="A80" s="5" t="s">
        <v>74</v>
      </c>
      <c r="B80" s="7" t="str">
        <f t="shared" si="1"/>
        <v>OK</v>
      </c>
      <c r="C80" s="6" t="s">
        <v>106</v>
      </c>
      <c r="E80" s="7" t="str">
        <f t="shared" si="2"/>
        <v>OK</v>
      </c>
      <c r="G80" s="6" t="s">
        <v>106</v>
      </c>
      <c r="H80" s="7" t="str">
        <f t="shared" si="3"/>
        <v>OK</v>
      </c>
      <c r="I80" s="7" t="str">
        <f t="array" ref="I80">XLOOKUP(G80,Label!$A$2:$A$309, Label!$B$2:$B$309)</f>
        <v>Layout Changed</v>
      </c>
      <c r="J80" s="7" t="str">
        <f t="array" ref="J80">XLOOKUP(G80,Label!$A$2:$A$309, Label!$C$2:$C$309)</f>
        <v/>
      </c>
    </row>
    <row r="81">
      <c r="A81" s="5" t="s">
        <v>76</v>
      </c>
      <c r="B81" s="7" t="str">
        <f t="shared" si="1"/>
        <v>OK</v>
      </c>
      <c r="C81" s="6" t="s">
        <v>107</v>
      </c>
      <c r="E81" s="7" t="str">
        <f t="shared" si="2"/>
        <v>OK</v>
      </c>
      <c r="G81" s="6" t="s">
        <v>107</v>
      </c>
      <c r="H81" s="7" t="str">
        <f t="shared" si="3"/>
        <v>OK</v>
      </c>
      <c r="I81" s="7" t="str">
        <f t="array" ref="I81">XLOOKUP(G81,Label!$A$2:$A$309, Label!$B$2:$B$309)</f>
        <v>Layout Shifted</v>
      </c>
      <c r="J81" s="7" t="str">
        <f t="array" ref="J81">XLOOKUP(G81,Label!$A$2:$A$309, Label!$C$2:$C$309)</f>
        <v/>
      </c>
    </row>
    <row r="82">
      <c r="A82" s="5" t="s">
        <v>77</v>
      </c>
      <c r="B82" s="7" t="str">
        <f t="shared" si="1"/>
        <v>OK</v>
      </c>
      <c r="C82" s="6" t="s">
        <v>108</v>
      </c>
      <c r="E82" s="7" t="str">
        <f t="shared" si="2"/>
        <v>OK</v>
      </c>
      <c r="G82" s="6" t="s">
        <v>108</v>
      </c>
      <c r="H82" s="7" t="str">
        <f t="shared" si="3"/>
        <v>OK</v>
      </c>
      <c r="I82" s="7" t="str">
        <f t="array" ref="I82">XLOOKUP(G82,Label!$A$2:$A$309, Label!$B$2:$B$309)</f>
        <v>Size of Page/Header Changed</v>
      </c>
      <c r="J82" s="7" t="str">
        <f t="array" ref="J82">XLOOKUP(G82,Label!$A$2:$A$309, Label!$C$2:$C$309)</f>
        <v/>
      </c>
    </row>
    <row r="83">
      <c r="A83" s="5" t="s">
        <v>78</v>
      </c>
      <c r="B83" s="7" t="str">
        <f t="shared" si="1"/>
        <v>OK</v>
      </c>
      <c r="C83" s="6" t="s">
        <v>109</v>
      </c>
      <c r="E83" s="7" t="str">
        <f t="shared" si="2"/>
        <v>OK</v>
      </c>
      <c r="G83" s="6" t="s">
        <v>109</v>
      </c>
      <c r="H83" s="7" t="str">
        <f t="shared" si="3"/>
        <v>OK</v>
      </c>
      <c r="I83" s="7" t="str">
        <f t="array" ref="I83">XLOOKUP(G83,Label!$A$2:$A$309, Label!$B$2:$B$309)</f>
        <v>Layout Shifted</v>
      </c>
      <c r="J83" s="7" t="str">
        <f t="array" ref="J83">XLOOKUP(G83,Label!$A$2:$A$309, Label!$C$2:$C$309)</f>
        <v/>
      </c>
    </row>
    <row r="84">
      <c r="A84" s="5" t="s">
        <v>79</v>
      </c>
      <c r="B84" s="7" t="str">
        <f t="shared" si="1"/>
        <v>OK</v>
      </c>
      <c r="C84" s="6" t="s">
        <v>110</v>
      </c>
      <c r="E84" s="7" t="str">
        <f t="shared" si="2"/>
        <v>OK</v>
      </c>
      <c r="G84" s="6" t="s">
        <v>110</v>
      </c>
      <c r="H84" s="7" t="str">
        <f t="shared" si="3"/>
        <v>OK</v>
      </c>
      <c r="I84" s="7" t="str">
        <f t="array" ref="I84">XLOOKUP(G84,Label!$A$2:$A$309, Label!$B$2:$B$309)</f>
        <v>Layout Shifted</v>
      </c>
      <c r="J84" s="7" t="str">
        <f t="array" ref="J84">XLOOKUP(G84,Label!$A$2:$A$309, Label!$C$2:$C$309)</f>
        <v/>
      </c>
    </row>
    <row r="85">
      <c r="A85" s="5" t="s">
        <v>80</v>
      </c>
      <c r="B85" s="7" t="str">
        <f t="shared" si="1"/>
        <v>OK</v>
      </c>
      <c r="C85" s="6" t="s">
        <v>111</v>
      </c>
      <c r="E85" s="7" t="str">
        <f t="shared" si="2"/>
        <v>OK</v>
      </c>
      <c r="G85" s="6" t="s">
        <v>111</v>
      </c>
      <c r="H85" s="7" t="str">
        <f t="shared" si="3"/>
        <v>OK</v>
      </c>
      <c r="I85" s="7" t="str">
        <f t="array" ref="I85">XLOOKUP(G85,Label!$A$2:$A$309, Label!$B$2:$B$309)</f>
        <v>Undefined/Wrong State is Shown</v>
      </c>
      <c r="J85" s="7" t="str">
        <f t="array" ref="J85">XLOOKUP(G85,Label!$A$2:$A$309, Label!$C$2:$C$309)</f>
        <v/>
      </c>
    </row>
    <row r="86">
      <c r="A86" s="5" t="s">
        <v>81</v>
      </c>
      <c r="B86" s="7" t="str">
        <f t="shared" si="1"/>
        <v>OK</v>
      </c>
      <c r="C86" s="6" t="s">
        <v>112</v>
      </c>
      <c r="E86" s="7" t="str">
        <f t="shared" si="2"/>
        <v>OK</v>
      </c>
      <c r="G86" s="6" t="s">
        <v>112</v>
      </c>
      <c r="H86" s="7" t="str">
        <f t="shared" si="3"/>
        <v>OK</v>
      </c>
      <c r="I86" s="7" t="str">
        <f t="array" ref="I86">XLOOKUP(G86,Label!$A$2:$A$309, Label!$B$2:$B$309)</f>
        <v>Layout Shifted</v>
      </c>
      <c r="J86" s="7" t="str">
        <f t="array" ref="J86">XLOOKUP(G86,Label!$A$2:$A$309, Label!$C$2:$C$309)</f>
        <v/>
      </c>
    </row>
    <row r="87">
      <c r="A87" s="5" t="s">
        <v>82</v>
      </c>
      <c r="B87" s="7" t="str">
        <f t="shared" si="1"/>
        <v>OK</v>
      </c>
      <c r="C87" s="6" t="s">
        <v>113</v>
      </c>
      <c r="E87" s="7" t="str">
        <f t="shared" si="2"/>
        <v>OK</v>
      </c>
      <c r="G87" s="6" t="s">
        <v>113</v>
      </c>
      <c r="H87" s="7" t="str">
        <f t="shared" si="3"/>
        <v>OK</v>
      </c>
      <c r="I87" s="7" t="str">
        <f t="array" ref="I87">XLOOKUP(G87,Label!$A$2:$A$309, Label!$B$2:$B$309)</f>
        <v>OutOfScope: Duplicates</v>
      </c>
      <c r="J87" s="7" t="str">
        <f t="array" ref="J87">XLOOKUP(G87,Label!$A$2:$A$309, Label!$C$2:$C$309)</f>
        <v/>
      </c>
    </row>
    <row r="88">
      <c r="A88" s="5" t="s">
        <v>83</v>
      </c>
      <c r="B88" s="7" t="str">
        <f t="shared" si="1"/>
        <v>OK</v>
      </c>
      <c r="C88" s="6" t="s">
        <v>114</v>
      </c>
      <c r="E88" s="7" t="str">
        <f t="shared" si="2"/>
        <v>OK</v>
      </c>
      <c r="G88" s="6" t="s">
        <v>114</v>
      </c>
      <c r="H88" s="7" t="str">
        <f t="shared" si="3"/>
        <v>OK</v>
      </c>
      <c r="I88" s="7" t="str">
        <f t="array" ref="I88">XLOOKUP(G88,Label!$A$2:$A$309, Label!$B$2:$B$309)</f>
        <v>Box Color Changed</v>
      </c>
      <c r="J88" s="7" t="str">
        <f t="array" ref="J88">XLOOKUP(G88,Label!$A$2:$A$309, Label!$C$2:$C$309)</f>
        <v/>
      </c>
    </row>
    <row r="89">
      <c r="A89" s="5" t="s">
        <v>84</v>
      </c>
      <c r="B89" s="7" t="str">
        <f t="shared" si="1"/>
        <v>OK</v>
      </c>
      <c r="C89" s="6" t="s">
        <v>115</v>
      </c>
      <c r="E89" s="7" t="str">
        <f t="shared" si="2"/>
        <v>OK</v>
      </c>
      <c r="G89" s="6" t="s">
        <v>115</v>
      </c>
      <c r="H89" s="7" t="str">
        <f t="shared" si="3"/>
        <v>OK</v>
      </c>
      <c r="I89" s="7" t="str">
        <f t="array" ref="I89">XLOOKUP(G89,Label!$A$2:$A$309, Label!$B$2:$B$309)</f>
        <v>Image Adjusted</v>
      </c>
      <c r="J89" s="7" t="str">
        <f t="array" ref="J89">XLOOKUP(G89,Label!$A$2:$A$309, Label!$C$2:$C$309)</f>
        <v/>
      </c>
    </row>
    <row r="90">
      <c r="A90" s="5" t="s">
        <v>86</v>
      </c>
      <c r="B90" s="7" t="str">
        <f t="shared" si="1"/>
        <v>OK</v>
      </c>
      <c r="C90" s="6" t="s">
        <v>116</v>
      </c>
      <c r="E90" s="7" t="str">
        <f t="shared" si="2"/>
        <v>OK</v>
      </c>
      <c r="G90" s="6" t="s">
        <v>116</v>
      </c>
      <c r="H90" s="7" t="str">
        <f t="shared" si="3"/>
        <v>OK</v>
      </c>
      <c r="I90" s="7" t="str">
        <f t="array" ref="I90">XLOOKUP(G90,Label!$A$2:$A$309, Label!$B$2:$B$309)</f>
        <v>OutOfScope: Cannot access</v>
      </c>
      <c r="J90" s="7" t="str">
        <f t="array" ref="J90">XLOOKUP(G90,Label!$A$2:$A$309, Label!$C$2:$C$309)</f>
        <v/>
      </c>
    </row>
    <row r="91">
      <c r="A91" s="5" t="s">
        <v>87</v>
      </c>
      <c r="B91" s="7" t="str">
        <f t="shared" si="1"/>
        <v>OK</v>
      </c>
      <c r="C91" s="6" t="s">
        <v>117</v>
      </c>
      <c r="E91" s="7" t="str">
        <f t="shared" si="2"/>
        <v>OK</v>
      </c>
      <c r="G91" s="6" t="s">
        <v>117</v>
      </c>
      <c r="H91" s="7" t="str">
        <f t="shared" si="3"/>
        <v>OK</v>
      </c>
      <c r="I91" s="7" t="str">
        <f t="array" ref="I91">XLOOKUP(G91,Label!$A$2:$A$309, Label!$B$2:$B$309)</f>
        <v>OutOfScope: New Story</v>
      </c>
      <c r="J91" s="7" t="str">
        <f t="array" ref="J91">XLOOKUP(G91,Label!$A$2:$A$309, Label!$C$2:$C$309)</f>
        <v/>
      </c>
    </row>
    <row r="92">
      <c r="A92" s="5" t="s">
        <v>88</v>
      </c>
      <c r="B92" s="7" t="str">
        <f t="shared" si="1"/>
        <v>OK</v>
      </c>
      <c r="C92" s="6" t="s">
        <v>118</v>
      </c>
      <c r="E92" s="7" t="str">
        <f t="shared" si="2"/>
        <v>OK</v>
      </c>
      <c r="G92" s="6" t="s">
        <v>118</v>
      </c>
      <c r="H92" s="7" t="str">
        <f t="shared" si="3"/>
        <v>OK</v>
      </c>
      <c r="I92" s="7" t="str">
        <f t="array" ref="I92">XLOOKUP(G92,Label!$A$2:$A$309, Label!$B$2:$B$309)</f>
        <v>OutOfScope: New Story</v>
      </c>
      <c r="J92" s="7" t="str">
        <f t="array" ref="J92">XLOOKUP(G92,Label!$A$2:$A$309, Label!$C$2:$C$309)</f>
        <v/>
      </c>
    </row>
    <row r="93">
      <c r="A93" s="5" t="s">
        <v>89</v>
      </c>
      <c r="B93" s="7" t="str">
        <f t="shared" si="1"/>
        <v>OK</v>
      </c>
      <c r="C93" s="6" t="s">
        <v>119</v>
      </c>
      <c r="E93" s="7" t="str">
        <f t="shared" si="2"/>
        <v>OK</v>
      </c>
      <c r="G93" s="6" t="s">
        <v>119</v>
      </c>
      <c r="H93" s="7" t="str">
        <f t="shared" si="3"/>
        <v>OK</v>
      </c>
      <c r="I93" s="7" t="str">
        <f t="array" ref="I93">XLOOKUP(G93,Label!$A$2:$A$309, Label!$B$2:$B$309)</f>
        <v>Layout Shifted</v>
      </c>
      <c r="J93" s="7" t="str">
        <f t="array" ref="J93">XLOOKUP(G93,Label!$A$2:$A$309, Label!$C$2:$C$309)</f>
        <v/>
      </c>
    </row>
    <row r="94">
      <c r="A94" s="5" t="s">
        <v>90</v>
      </c>
      <c r="B94" s="7" t="str">
        <f t="shared" si="1"/>
        <v>OK</v>
      </c>
      <c r="C94" s="6" t="s">
        <v>120</v>
      </c>
      <c r="E94" s="7" t="str">
        <f t="shared" si="2"/>
        <v>OK</v>
      </c>
      <c r="G94" s="6" t="s">
        <v>120</v>
      </c>
      <c r="H94" s="7" t="str">
        <f t="shared" si="3"/>
        <v>OK</v>
      </c>
      <c r="I94" s="7" t="str">
        <f t="array" ref="I94">XLOOKUP(G94,Label!$A$2:$A$309, Label!$B$2:$B$309)</f>
        <v>New Text</v>
      </c>
      <c r="J94" s="7" t="str">
        <f t="array" ref="J94">XLOOKUP(G94,Label!$A$2:$A$309, Label!$C$2:$C$309)</f>
        <v>Text Disappeared</v>
      </c>
    </row>
    <row r="95">
      <c r="A95" s="5" t="s">
        <v>92</v>
      </c>
      <c r="B95" s="7" t="str">
        <f t="shared" si="1"/>
        <v>OK</v>
      </c>
      <c r="C95" s="6" t="s">
        <v>122</v>
      </c>
      <c r="E95" s="7" t="str">
        <f t="shared" si="2"/>
        <v>OK</v>
      </c>
      <c r="G95" s="6" t="s">
        <v>122</v>
      </c>
      <c r="H95" s="7" t="str">
        <f t="shared" si="3"/>
        <v>OK</v>
      </c>
      <c r="I95" s="7" t="str">
        <f t="array" ref="I95">XLOOKUP(G95,Label!$A$2:$A$309, Label!$B$2:$B$309)</f>
        <v>Size of Page/Header Changed</v>
      </c>
      <c r="J95" s="7" t="str">
        <f t="array" ref="J95">XLOOKUP(G95,Label!$A$2:$A$309, Label!$C$2:$C$309)</f>
        <v/>
      </c>
    </row>
    <row r="96">
      <c r="A96" s="5" t="s">
        <v>93</v>
      </c>
      <c r="B96" s="7" t="str">
        <f t="shared" si="1"/>
        <v>OK</v>
      </c>
      <c r="C96" s="6" t="s">
        <v>123</v>
      </c>
      <c r="E96" s="7" t="str">
        <f t="shared" si="2"/>
        <v>OK</v>
      </c>
      <c r="G96" s="6" t="s">
        <v>123</v>
      </c>
      <c r="H96" s="7" t="str">
        <f t="shared" si="3"/>
        <v>OK</v>
      </c>
      <c r="I96" s="7" t="str">
        <f t="array" ref="I96">XLOOKUP(G96,Label!$A$2:$A$309, Label!$B$2:$B$309)</f>
        <v>Image Replaced</v>
      </c>
      <c r="J96" s="7" t="str">
        <f t="array" ref="J96">XLOOKUP(G96,Label!$A$2:$A$309, Label!$C$2:$C$309)</f>
        <v/>
      </c>
    </row>
    <row r="97">
      <c r="A97" s="5" t="s">
        <v>95</v>
      </c>
      <c r="B97" s="7" t="str">
        <f t="shared" si="1"/>
        <v>OK</v>
      </c>
      <c r="C97" s="6" t="s">
        <v>124</v>
      </c>
      <c r="E97" s="7" t="str">
        <f t="shared" si="2"/>
        <v>OK</v>
      </c>
      <c r="G97" s="6" t="s">
        <v>124</v>
      </c>
      <c r="H97" s="7" t="str">
        <f t="shared" si="3"/>
        <v>OK</v>
      </c>
      <c r="I97" s="7" t="str">
        <f t="array" ref="I97">XLOOKUP(G97,Label!$A$2:$A$309, Label!$B$2:$B$309)</f>
        <v>OutOfScope: Duplicates</v>
      </c>
      <c r="J97" s="7" t="str">
        <f t="array" ref="J97">XLOOKUP(G97,Label!$A$2:$A$309, Label!$C$2:$C$309)</f>
        <v/>
      </c>
    </row>
    <row r="98">
      <c r="A98" s="5" t="s">
        <v>96</v>
      </c>
      <c r="B98" s="7" t="str">
        <f t="shared" si="1"/>
        <v>OK</v>
      </c>
      <c r="C98" s="6" t="s">
        <v>125</v>
      </c>
      <c r="E98" s="7" t="str">
        <f t="shared" si="2"/>
        <v>OK</v>
      </c>
      <c r="G98" s="6" t="s">
        <v>125</v>
      </c>
      <c r="H98" s="7" t="str">
        <f t="shared" si="3"/>
        <v>OK</v>
      </c>
      <c r="I98" s="7" t="str">
        <f t="array" ref="I98">XLOOKUP(G98,Label!$A$2:$A$309, Label!$B$2:$B$309)</f>
        <v>OutOfScope: Duplicates</v>
      </c>
      <c r="J98" s="7" t="str">
        <f t="array" ref="J98">XLOOKUP(G98,Label!$A$2:$A$309, Label!$C$2:$C$309)</f>
        <v/>
      </c>
    </row>
    <row r="99">
      <c r="A99" s="5" t="s">
        <v>98</v>
      </c>
      <c r="B99" s="7" t="str">
        <f t="shared" si="1"/>
        <v>OK</v>
      </c>
      <c r="C99" s="6" t="s">
        <v>126</v>
      </c>
      <c r="E99" s="7" t="str">
        <f t="shared" si="2"/>
        <v>OK</v>
      </c>
      <c r="G99" s="6" t="s">
        <v>126</v>
      </c>
      <c r="H99" s="7" t="str">
        <f t="shared" si="3"/>
        <v>OK</v>
      </c>
      <c r="I99" s="7" t="str">
        <f t="array" ref="I99">XLOOKUP(G99,Label!$A$2:$A$309, Label!$B$2:$B$309)</f>
        <v>Size of Page/Header Changed</v>
      </c>
      <c r="J99" s="7" t="str">
        <f t="array" ref="J99">XLOOKUP(G99,Label!$A$2:$A$309, Label!$C$2:$C$309)</f>
        <v/>
      </c>
    </row>
    <row r="100">
      <c r="A100" s="5" t="s">
        <v>99</v>
      </c>
      <c r="B100" s="7" t="str">
        <f t="shared" si="1"/>
        <v>OK</v>
      </c>
      <c r="C100" s="6" t="s">
        <v>127</v>
      </c>
      <c r="E100" s="7" t="str">
        <f t="shared" si="2"/>
        <v>OK</v>
      </c>
      <c r="G100" s="6" t="s">
        <v>127</v>
      </c>
      <c r="H100" s="7" t="str">
        <f t="shared" si="3"/>
        <v>OK</v>
      </c>
      <c r="I100" s="7" t="str">
        <f t="array" ref="I100">XLOOKUP(G100,Label!$A$2:$A$309, Label!$B$2:$B$309)</f>
        <v>Box Color Changed</v>
      </c>
      <c r="J100" s="7" t="str">
        <f t="array" ref="J100">XLOOKUP(G100,Label!$A$2:$A$309, Label!$C$2:$C$309)</f>
        <v/>
      </c>
    </row>
    <row r="101">
      <c r="A101" s="5" t="s">
        <v>100</v>
      </c>
      <c r="B101" s="7" t="str">
        <f t="shared" si="1"/>
        <v>OK</v>
      </c>
      <c r="C101" s="6" t="s">
        <v>128</v>
      </c>
      <c r="E101" s="7" t="str">
        <f t="shared" si="2"/>
        <v>OK</v>
      </c>
      <c r="G101" s="6" t="s">
        <v>128</v>
      </c>
      <c r="H101" s="7" t="str">
        <f t="shared" si="3"/>
        <v>OK</v>
      </c>
      <c r="I101" s="7" t="str">
        <f t="array" ref="I101">XLOOKUP(G101,Label!$A$2:$A$309, Label!$B$2:$B$309)</f>
        <v>Focus Does Not Work</v>
      </c>
      <c r="J101" s="7" t="str">
        <f t="array" ref="J101">XLOOKUP(G101,Label!$A$2:$A$309, Label!$C$2:$C$309)</f>
        <v/>
      </c>
    </row>
    <row r="102">
      <c r="A102" s="5" t="s">
        <v>101</v>
      </c>
      <c r="B102" s="7" t="str">
        <f t="shared" si="1"/>
        <v>OK</v>
      </c>
      <c r="C102" s="6" t="s">
        <v>129</v>
      </c>
      <c r="E102" s="7" t="str">
        <f t="shared" si="2"/>
        <v>OK</v>
      </c>
      <c r="G102" s="6" t="s">
        <v>129</v>
      </c>
      <c r="H102" s="7" t="str">
        <f t="shared" si="3"/>
        <v>OK</v>
      </c>
      <c r="I102" s="7" t="str">
        <f t="array" ref="I102">XLOOKUP(G102,Label!$A$2:$A$309, Label!$B$2:$B$309)</f>
        <v>Specific Items are Mis-aligned</v>
      </c>
      <c r="J102" s="7" t="str">
        <f t="array" ref="J102">XLOOKUP(G102,Label!$A$2:$A$309, Label!$C$2:$C$309)</f>
        <v/>
      </c>
    </row>
    <row r="103">
      <c r="A103" s="5" t="s">
        <v>102</v>
      </c>
      <c r="B103" s="7" t="str">
        <f t="shared" si="1"/>
        <v>OK</v>
      </c>
      <c r="C103" s="6" t="s">
        <v>131</v>
      </c>
      <c r="E103" s="7" t="str">
        <f t="shared" si="2"/>
        <v>OK</v>
      </c>
      <c r="G103" s="6" t="s">
        <v>131</v>
      </c>
      <c r="H103" s="7" t="str">
        <f t="shared" si="3"/>
        <v>OK</v>
      </c>
      <c r="I103" s="7" t="str">
        <f t="array" ref="I103">XLOOKUP(G103,Label!$A$2:$A$309, Label!$B$2:$B$309)</f>
        <v>OutOfScope: Chromatic Error</v>
      </c>
      <c r="J103" s="7" t="str">
        <f t="array" ref="J103">XLOOKUP(G103,Label!$A$2:$A$309, Label!$C$2:$C$309)</f>
        <v/>
      </c>
    </row>
    <row r="104">
      <c r="A104" s="5" t="s">
        <v>103</v>
      </c>
      <c r="B104" s="7" t="str">
        <f t="shared" si="1"/>
        <v>OK</v>
      </c>
      <c r="C104" s="6" t="s">
        <v>132</v>
      </c>
      <c r="E104" s="7" t="str">
        <f t="shared" si="2"/>
        <v>OK</v>
      </c>
      <c r="G104" s="6" t="s">
        <v>132</v>
      </c>
      <c r="H104" s="7" t="str">
        <f t="shared" si="3"/>
        <v>OK</v>
      </c>
      <c r="I104" s="7" t="str">
        <f t="array" ref="I104">XLOOKUP(G104,Label!$A$2:$A$309, Label!$B$2:$B$309)</f>
        <v>OutOfScope: Duplicates</v>
      </c>
      <c r="J104" s="7" t="str">
        <f t="array" ref="J104">XLOOKUP(G104,Label!$A$2:$A$309, Label!$C$2:$C$309)</f>
        <v/>
      </c>
    </row>
    <row r="105">
      <c r="A105" s="5" t="s">
        <v>104</v>
      </c>
      <c r="B105" s="7" t="str">
        <f t="shared" si="1"/>
        <v>OK</v>
      </c>
      <c r="C105" s="6" t="s">
        <v>133</v>
      </c>
      <c r="E105" s="7" t="str">
        <f t="shared" si="2"/>
        <v>OK</v>
      </c>
      <c r="G105" s="6" t="s">
        <v>133</v>
      </c>
      <c r="H105" s="7" t="str">
        <f t="shared" si="3"/>
        <v>OK</v>
      </c>
      <c r="I105" s="7" t="str">
        <f t="array" ref="I105">XLOOKUP(G105,Label!$A$2:$A$309, Label!$B$2:$B$309)</f>
        <v>Border Color Changed</v>
      </c>
      <c r="J105" s="7" t="str">
        <f t="array" ref="J105">XLOOKUP(G105,Label!$A$2:$A$309, Label!$C$2:$C$309)</f>
        <v/>
      </c>
    </row>
    <row r="106">
      <c r="A106" s="5" t="s">
        <v>105</v>
      </c>
      <c r="B106" s="7" t="str">
        <f t="shared" si="1"/>
        <v>OK</v>
      </c>
      <c r="C106" s="6" t="s">
        <v>135</v>
      </c>
      <c r="E106" s="7" t="str">
        <f t="shared" si="2"/>
        <v>OK</v>
      </c>
      <c r="G106" s="6" t="s">
        <v>135</v>
      </c>
      <c r="H106" s="7" t="str">
        <f t="shared" si="3"/>
        <v>OK</v>
      </c>
      <c r="I106" s="7" t="str">
        <f t="array" ref="I106">XLOOKUP(G106,Label!$A$2:$A$309, Label!$B$2:$B$309)</f>
        <v>OutOfScope: Duplicates</v>
      </c>
      <c r="J106" s="7" t="str">
        <f t="array" ref="J106">XLOOKUP(G106,Label!$A$2:$A$309, Label!$C$2:$C$309)</f>
        <v/>
      </c>
    </row>
    <row r="107">
      <c r="A107" s="5" t="s">
        <v>106</v>
      </c>
      <c r="B107" s="7" t="str">
        <f t="shared" si="1"/>
        <v>OK</v>
      </c>
      <c r="C107" s="6" t="s">
        <v>136</v>
      </c>
      <c r="E107" s="7" t="str">
        <f t="shared" si="2"/>
        <v>OK</v>
      </c>
      <c r="G107" s="6" t="s">
        <v>136</v>
      </c>
      <c r="H107" s="7" t="str">
        <f t="shared" si="3"/>
        <v>OK</v>
      </c>
      <c r="I107" s="7" t="str">
        <f t="array" ref="I107">XLOOKUP(G107,Label!$A$2:$A$309, Label!$B$2:$B$309)</f>
        <v>Wrong Border Thickness</v>
      </c>
      <c r="J107" s="7" t="str">
        <f t="array" ref="J107">XLOOKUP(G107,Label!$A$2:$A$309, Label!$C$2:$C$309)</f>
        <v/>
      </c>
    </row>
    <row r="108">
      <c r="A108" s="5" t="s">
        <v>107</v>
      </c>
      <c r="B108" s="7" t="str">
        <f t="shared" si="1"/>
        <v>OK</v>
      </c>
      <c r="C108" s="6" t="s">
        <v>137</v>
      </c>
      <c r="E108" s="7" t="str">
        <f t="shared" si="2"/>
        <v>OK</v>
      </c>
      <c r="G108" s="6" t="s">
        <v>137</v>
      </c>
      <c r="H108" s="7" t="str">
        <f t="shared" si="3"/>
        <v>OK</v>
      </c>
      <c r="I108" s="7" t="str">
        <f t="array" ref="I108">XLOOKUP(G108,Label!$A$2:$A$309, Label!$B$2:$B$309)</f>
        <v>OutOfScope: Chromatic Error</v>
      </c>
      <c r="J108" s="7" t="str">
        <f t="array" ref="J108">XLOOKUP(G108,Label!$A$2:$A$309, Label!$C$2:$C$309)</f>
        <v/>
      </c>
    </row>
    <row r="109">
      <c r="A109" s="5" t="s">
        <v>108</v>
      </c>
      <c r="B109" s="7" t="str">
        <f t="shared" si="1"/>
        <v>OK</v>
      </c>
      <c r="C109" s="6" t="s">
        <v>138</v>
      </c>
      <c r="E109" s="7" t="str">
        <f t="shared" si="2"/>
        <v>OK</v>
      </c>
      <c r="G109" s="6" t="s">
        <v>138</v>
      </c>
      <c r="H109" s="7" t="str">
        <f t="shared" si="3"/>
        <v>OK</v>
      </c>
      <c r="I109" s="7" t="str">
        <f t="array" ref="I109">XLOOKUP(G109,Label!$A$2:$A$309, Label!$B$2:$B$309)</f>
        <v>Box Color Changed</v>
      </c>
      <c r="J109" s="7" t="str">
        <f t="array" ref="J109">XLOOKUP(G109,Label!$A$2:$A$309, Label!$C$2:$C$309)</f>
        <v/>
      </c>
    </row>
    <row r="110">
      <c r="A110" s="5" t="s">
        <v>109</v>
      </c>
      <c r="B110" s="7" t="str">
        <f t="shared" si="1"/>
        <v>OK</v>
      </c>
      <c r="C110" s="6" t="s">
        <v>139</v>
      </c>
      <c r="E110" s="7" t="str">
        <f t="shared" si="2"/>
        <v>OK</v>
      </c>
      <c r="G110" s="6" t="s">
        <v>139</v>
      </c>
      <c r="H110" s="7" t="str">
        <f t="shared" si="3"/>
        <v>OK</v>
      </c>
      <c r="I110" s="7" t="str">
        <f t="array" ref="I110">XLOOKUP(G110,Label!$A$2:$A$309, Label!$B$2:$B$309)</f>
        <v>Layout Shifted</v>
      </c>
      <c r="J110" s="7" t="str">
        <f t="array" ref="J110">XLOOKUP(G110,Label!$A$2:$A$309, Label!$C$2:$C$309)</f>
        <v/>
      </c>
    </row>
    <row r="111">
      <c r="A111" s="5" t="s">
        <v>110</v>
      </c>
      <c r="B111" s="7" t="str">
        <f t="shared" si="1"/>
        <v>OK</v>
      </c>
      <c r="C111" s="6" t="s">
        <v>140</v>
      </c>
      <c r="E111" s="7" t="str">
        <f t="shared" si="2"/>
        <v>OK</v>
      </c>
      <c r="G111" s="6" t="s">
        <v>140</v>
      </c>
      <c r="H111" s="7" t="str">
        <f t="shared" si="3"/>
        <v>OK</v>
      </c>
      <c r="I111" s="7" t="str">
        <f t="array" ref="I111">XLOOKUP(G111,Label!$A$2:$A$309, Label!$B$2:$B$309)</f>
        <v>Specific Items are Mis-aligned</v>
      </c>
      <c r="J111" s="7" t="str">
        <f t="array" ref="J111">XLOOKUP(G111,Label!$A$2:$A$309, Label!$C$2:$C$309)</f>
        <v/>
      </c>
    </row>
    <row r="112">
      <c r="A112" s="5" t="s">
        <v>111</v>
      </c>
      <c r="B112" s="7" t="str">
        <f t="shared" si="1"/>
        <v>OK</v>
      </c>
      <c r="C112" s="6" t="s">
        <v>141</v>
      </c>
      <c r="E112" s="7" t="str">
        <f t="shared" si="2"/>
        <v>OK</v>
      </c>
      <c r="G112" s="6" t="s">
        <v>141</v>
      </c>
      <c r="H112" s="7" t="str">
        <f t="shared" si="3"/>
        <v>OK</v>
      </c>
      <c r="I112" s="7" t="str">
        <f t="array" ref="I112">XLOOKUP(G112,Label!$A$2:$A$309, Label!$B$2:$B$309)</f>
        <v>OutOfScope: New Story</v>
      </c>
      <c r="J112" s="7" t="str">
        <f t="array" ref="J112">XLOOKUP(G112,Label!$A$2:$A$309, Label!$C$2:$C$309)</f>
        <v/>
      </c>
    </row>
    <row r="113">
      <c r="A113" s="5" t="s">
        <v>112</v>
      </c>
      <c r="B113" s="7" t="str">
        <f t="shared" si="1"/>
        <v>OK</v>
      </c>
      <c r="C113" s="6" t="s">
        <v>142</v>
      </c>
      <c r="E113" s="7" t="str">
        <f t="shared" si="2"/>
        <v>OK</v>
      </c>
      <c r="G113" s="6" t="s">
        <v>142</v>
      </c>
      <c r="H113" s="7" t="str">
        <f t="shared" si="3"/>
        <v>OK</v>
      </c>
      <c r="I113" s="7" t="str">
        <f t="array" ref="I113">XLOOKUP(G113,Label!$A$2:$A$309, Label!$B$2:$B$309)</f>
        <v>Layout Shifted</v>
      </c>
      <c r="J113" s="7" t="str">
        <f t="array" ref="J113">XLOOKUP(G113,Label!$A$2:$A$309, Label!$C$2:$C$309)</f>
        <v/>
      </c>
    </row>
    <row r="114">
      <c r="A114" s="5" t="s">
        <v>113</v>
      </c>
      <c r="B114" s="7" t="str">
        <f t="shared" si="1"/>
        <v>OK</v>
      </c>
      <c r="C114" s="6" t="s">
        <v>143</v>
      </c>
      <c r="E114" s="7" t="str">
        <f t="shared" si="2"/>
        <v>OK</v>
      </c>
      <c r="G114" s="6" t="s">
        <v>143</v>
      </c>
      <c r="H114" s="7" t="str">
        <f t="shared" si="3"/>
        <v>OK</v>
      </c>
      <c r="I114" s="7" t="str">
        <f t="array" ref="I114">XLOOKUP(G114,Label!$A$2:$A$309, Label!$B$2:$B$309)</f>
        <v>OutOfScope: New Story</v>
      </c>
      <c r="J114" s="7" t="str">
        <f t="array" ref="J114">XLOOKUP(G114,Label!$A$2:$A$309, Label!$C$2:$C$309)</f>
        <v/>
      </c>
    </row>
    <row r="115">
      <c r="A115" s="5" t="s">
        <v>114</v>
      </c>
      <c r="B115" s="7" t="str">
        <f t="shared" si="1"/>
        <v>OK</v>
      </c>
      <c r="C115" s="6" t="s">
        <v>144</v>
      </c>
      <c r="E115" s="7" t="str">
        <f t="shared" si="2"/>
        <v>OK</v>
      </c>
      <c r="G115" s="6" t="s">
        <v>144</v>
      </c>
      <c r="H115" s="7" t="str">
        <f t="shared" si="3"/>
        <v>OK</v>
      </c>
      <c r="I115" s="7" t="str">
        <f t="array" ref="I115">XLOOKUP(G115,Label!$A$2:$A$309, Label!$B$2:$B$309)</f>
        <v>Specific Items are Mis-aligned</v>
      </c>
      <c r="J115" s="7" t="str">
        <f t="array" ref="J115">XLOOKUP(G115,Label!$A$2:$A$309, Label!$C$2:$C$309)</f>
        <v/>
      </c>
    </row>
    <row r="116">
      <c r="A116" s="5" t="s">
        <v>115</v>
      </c>
      <c r="B116" s="7" t="str">
        <f t="shared" si="1"/>
        <v>OK</v>
      </c>
      <c r="C116" s="6" t="s">
        <v>145</v>
      </c>
      <c r="E116" s="7" t="str">
        <f t="shared" si="2"/>
        <v>OK</v>
      </c>
      <c r="G116" s="6" t="s">
        <v>145</v>
      </c>
      <c r="H116" s="7" t="str">
        <f t="shared" si="3"/>
        <v>OK</v>
      </c>
      <c r="I116" s="7" t="str">
        <f t="array" ref="I116">XLOOKUP(G116,Label!$A$2:$A$309, Label!$B$2:$B$309)</f>
        <v>Contents Disappeared</v>
      </c>
      <c r="J116" s="7" t="str">
        <f t="array" ref="J116">XLOOKUP(G116,Label!$A$2:$A$309, Label!$C$2:$C$309)</f>
        <v/>
      </c>
    </row>
    <row r="117">
      <c r="A117" s="5" t="s">
        <v>116</v>
      </c>
      <c r="B117" s="7" t="str">
        <f t="shared" si="1"/>
        <v>OK</v>
      </c>
      <c r="C117" s="6" t="s">
        <v>146</v>
      </c>
      <c r="E117" s="7" t="str">
        <f t="shared" si="2"/>
        <v>OK</v>
      </c>
      <c r="G117" s="6" t="s">
        <v>146</v>
      </c>
      <c r="H117" s="7" t="str">
        <f t="shared" si="3"/>
        <v>OK</v>
      </c>
      <c r="I117" s="7" t="str">
        <f t="array" ref="I117">XLOOKUP(G117,Label!$A$2:$A$309, Label!$B$2:$B$309)</f>
        <v>Not sure</v>
      </c>
      <c r="J117" s="7" t="str">
        <f t="array" ref="J117">XLOOKUP(G117,Label!$A$2:$A$309, Label!$C$2:$C$309)</f>
        <v/>
      </c>
    </row>
    <row r="118">
      <c r="A118" s="5" t="s">
        <v>117</v>
      </c>
      <c r="B118" s="7" t="str">
        <f t="shared" si="1"/>
        <v>OK</v>
      </c>
      <c r="C118" s="6" t="s">
        <v>147</v>
      </c>
      <c r="E118" s="7" t="str">
        <f t="shared" si="2"/>
        <v>OK</v>
      </c>
      <c r="G118" s="6" t="s">
        <v>147</v>
      </c>
      <c r="H118" s="7" t="str">
        <f t="shared" si="3"/>
        <v>OK</v>
      </c>
      <c r="I118" s="7" t="str">
        <f t="array" ref="I118">XLOOKUP(G118,Label!$A$2:$A$309, Label!$B$2:$B$309)</f>
        <v>New Buttons</v>
      </c>
      <c r="J118" s="7" t="str">
        <f t="array" ref="J118">XLOOKUP(G118,Label!$A$2:$A$309, Label!$C$2:$C$309)</f>
        <v/>
      </c>
    </row>
    <row r="119">
      <c r="A119" s="5" t="s">
        <v>118</v>
      </c>
      <c r="B119" s="7" t="str">
        <f t="shared" si="1"/>
        <v>OK</v>
      </c>
      <c r="C119" s="6" t="s">
        <v>149</v>
      </c>
      <c r="E119" s="7" t="str">
        <f t="shared" si="2"/>
        <v>OK</v>
      </c>
      <c r="G119" s="6" t="s">
        <v>149</v>
      </c>
      <c r="H119" s="7" t="str">
        <f t="shared" si="3"/>
        <v>OK</v>
      </c>
      <c r="I119" s="7" t="str">
        <f t="array" ref="I119">XLOOKUP(G119,Label!$A$2:$A$309, Label!$B$2:$B$309)</f>
        <v>Text Color Changed</v>
      </c>
      <c r="J119" s="7" t="str">
        <f t="array" ref="J119">XLOOKUP(G119,Label!$A$2:$A$309, Label!$C$2:$C$309)</f>
        <v>Layout Shifted</v>
      </c>
    </row>
    <row r="120">
      <c r="A120" s="5" t="s">
        <v>119</v>
      </c>
      <c r="B120" s="7" t="str">
        <f t="shared" si="1"/>
        <v>OK</v>
      </c>
      <c r="C120" s="6" t="s">
        <v>150</v>
      </c>
      <c r="E120" s="7" t="str">
        <f t="shared" si="2"/>
        <v>OK</v>
      </c>
      <c r="G120" s="6" t="s">
        <v>150</v>
      </c>
      <c r="H120" s="7" t="str">
        <f t="shared" si="3"/>
        <v>OK</v>
      </c>
      <c r="I120" s="7" t="str">
        <f t="array" ref="I120">XLOOKUP(G120,Label!$A$2:$A$309, Label!$B$2:$B$309)</f>
        <v>New Contents</v>
      </c>
      <c r="J120" s="7" t="str">
        <f t="array" ref="J120">XLOOKUP(G120,Label!$A$2:$A$309, Label!$C$2:$C$309)</f>
        <v/>
      </c>
    </row>
    <row r="121">
      <c r="A121" s="5" t="s">
        <v>120</v>
      </c>
      <c r="B121" s="7" t="str">
        <f t="shared" si="1"/>
        <v>OK</v>
      </c>
      <c r="C121" s="6" t="s">
        <v>151</v>
      </c>
      <c r="E121" s="7" t="str">
        <f t="shared" si="2"/>
        <v>OK</v>
      </c>
      <c r="G121" s="6" t="s">
        <v>151</v>
      </c>
      <c r="H121" s="7" t="str">
        <f t="shared" si="3"/>
        <v>OK</v>
      </c>
      <c r="I121" s="7" t="str">
        <f t="array" ref="I121">XLOOKUP(G121,Label!$A$2:$A$309, Label!$B$2:$B$309)</f>
        <v>Box Color Changed</v>
      </c>
      <c r="J121" s="7" t="str">
        <f t="array" ref="J121">XLOOKUP(G121,Label!$A$2:$A$309, Label!$C$2:$C$309)</f>
        <v/>
      </c>
    </row>
    <row r="122">
      <c r="A122" s="5" t="s">
        <v>122</v>
      </c>
      <c r="B122" s="7" t="str">
        <f t="shared" si="1"/>
        <v>OK</v>
      </c>
      <c r="C122" s="6" t="s">
        <v>152</v>
      </c>
      <c r="E122" s="7" t="str">
        <f t="shared" si="2"/>
        <v>OK</v>
      </c>
      <c r="G122" s="6" t="s">
        <v>152</v>
      </c>
      <c r="H122" s="7" t="str">
        <f t="shared" si="3"/>
        <v>OK</v>
      </c>
      <c r="I122" s="7" t="str">
        <f t="array" ref="I122">XLOOKUP(G122,Label!$A$2:$A$309, Label!$B$2:$B$309)</f>
        <v>Flacky Test</v>
      </c>
      <c r="J122" s="7" t="str">
        <f t="array" ref="J122">XLOOKUP(G122,Label!$A$2:$A$309, Label!$C$2:$C$309)</f>
        <v/>
      </c>
    </row>
    <row r="123">
      <c r="A123" s="5" t="s">
        <v>123</v>
      </c>
      <c r="B123" s="7" t="str">
        <f t="shared" si="1"/>
        <v>OK</v>
      </c>
      <c r="C123" s="6" t="s">
        <v>154</v>
      </c>
      <c r="E123" s="7" t="str">
        <f t="shared" si="2"/>
        <v>OK</v>
      </c>
      <c r="G123" s="6" t="s">
        <v>154</v>
      </c>
      <c r="H123" s="7" t="str">
        <f t="shared" si="3"/>
        <v>OK</v>
      </c>
      <c r="I123" s="7" t="str">
        <f t="array" ref="I123">XLOOKUP(G123,Label!$A$2:$A$309, Label!$B$2:$B$309)</f>
        <v>OutOfScope: New Story</v>
      </c>
      <c r="J123" s="7" t="str">
        <f t="array" ref="J123">XLOOKUP(G123,Label!$A$2:$A$309, Label!$C$2:$C$309)</f>
        <v/>
      </c>
    </row>
    <row r="124">
      <c r="A124" s="5" t="s">
        <v>124</v>
      </c>
      <c r="B124" s="7" t="str">
        <f t="shared" si="1"/>
        <v>OK</v>
      </c>
      <c r="C124" s="6" t="s">
        <v>155</v>
      </c>
      <c r="E124" s="7" t="str">
        <f t="shared" si="2"/>
        <v>OK</v>
      </c>
      <c r="G124" s="6" t="s">
        <v>155</v>
      </c>
      <c r="H124" s="7" t="str">
        <f t="shared" si="3"/>
        <v>OK</v>
      </c>
      <c r="I124" s="7" t="str">
        <f t="array" ref="I124">XLOOKUP(G124,Label!$A$2:$A$309, Label!$B$2:$B$309)</f>
        <v>OutOfScope: Cannot access</v>
      </c>
      <c r="J124" s="7" t="str">
        <f t="array" ref="J124">XLOOKUP(G124,Label!$A$2:$A$309, Label!$C$2:$C$309)</f>
        <v/>
      </c>
    </row>
    <row r="125">
      <c r="A125" s="5" t="s">
        <v>125</v>
      </c>
      <c r="B125" s="7" t="str">
        <f t="shared" si="1"/>
        <v>OK</v>
      </c>
      <c r="C125" s="6" t="s">
        <v>156</v>
      </c>
      <c r="E125" s="7" t="str">
        <f t="shared" si="2"/>
        <v>OK</v>
      </c>
      <c r="G125" s="6" t="s">
        <v>156</v>
      </c>
      <c r="H125" s="7" t="str">
        <f t="shared" si="3"/>
        <v>OK</v>
      </c>
      <c r="I125" s="7" t="str">
        <f t="array" ref="I125">XLOOKUP(G125,Label!$A$2:$A$309, Label!$B$2:$B$309)</f>
        <v>Layout Shifted</v>
      </c>
      <c r="J125" s="7" t="str">
        <f t="array" ref="J125">XLOOKUP(G125,Label!$A$2:$A$309, Label!$C$2:$C$309)</f>
        <v/>
      </c>
    </row>
    <row r="126">
      <c r="A126" s="5" t="s">
        <v>126</v>
      </c>
      <c r="B126" s="7" t="str">
        <f t="shared" si="1"/>
        <v>OK</v>
      </c>
      <c r="C126" s="6" t="s">
        <v>157</v>
      </c>
      <c r="E126" s="7" t="str">
        <f t="shared" si="2"/>
        <v>OK</v>
      </c>
      <c r="G126" s="6" t="s">
        <v>157</v>
      </c>
      <c r="H126" s="7" t="str">
        <f t="shared" si="3"/>
        <v>OK</v>
      </c>
      <c r="I126" s="7" t="str">
        <f t="array" ref="I126">XLOOKUP(G126,Label!$A$2:$A$309, Label!$B$2:$B$309)</f>
        <v>OutOfScope: New Story</v>
      </c>
      <c r="J126" s="7" t="str">
        <f t="array" ref="J126">XLOOKUP(G126,Label!$A$2:$A$309, Label!$C$2:$C$309)</f>
        <v/>
      </c>
    </row>
    <row r="127">
      <c r="A127" s="5" t="s">
        <v>127</v>
      </c>
      <c r="B127" s="7" t="str">
        <f t="shared" si="1"/>
        <v>OK</v>
      </c>
      <c r="C127" s="6" t="s">
        <v>158</v>
      </c>
      <c r="E127" s="7" t="str">
        <f t="shared" si="2"/>
        <v>OK</v>
      </c>
      <c r="G127" s="6" t="s">
        <v>158</v>
      </c>
      <c r="H127" s="7" t="str">
        <f t="shared" si="3"/>
        <v>OK</v>
      </c>
      <c r="I127" s="7" t="str">
        <f t="array" ref="I127">XLOOKUP(G127,Label!$A$2:$A$309, Label!$B$2:$B$309)</f>
        <v>OutOfScope: Cannot access</v>
      </c>
      <c r="J127" s="7" t="str">
        <f t="array" ref="J127">XLOOKUP(G127,Label!$A$2:$A$309, Label!$C$2:$C$309)</f>
        <v/>
      </c>
    </row>
    <row r="128">
      <c r="A128" s="5" t="s">
        <v>128</v>
      </c>
      <c r="B128" s="7" t="str">
        <f t="shared" si="1"/>
        <v>OK</v>
      </c>
      <c r="C128" s="6" t="s">
        <v>159</v>
      </c>
      <c r="E128" s="7" t="str">
        <f t="shared" si="2"/>
        <v>OK</v>
      </c>
      <c r="G128" s="6" t="s">
        <v>159</v>
      </c>
      <c r="H128" s="7" t="str">
        <f t="shared" si="3"/>
        <v>OK</v>
      </c>
      <c r="I128" s="7" t="str">
        <f t="array" ref="I128">XLOOKUP(G128,Label!$A$2:$A$309, Label!$B$2:$B$309)</f>
        <v>No or Few Visual Diffrences Detected</v>
      </c>
      <c r="J128" s="7" t="str">
        <f t="array" ref="J128">XLOOKUP(G128,Label!$A$2:$A$309, Label!$C$2:$C$309)</f>
        <v/>
      </c>
    </row>
    <row r="129">
      <c r="A129" s="5" t="s">
        <v>129</v>
      </c>
      <c r="B129" s="7" t="str">
        <f t="shared" si="1"/>
        <v>OK</v>
      </c>
      <c r="C129" s="6" t="s">
        <v>161</v>
      </c>
      <c r="E129" s="7" t="str">
        <f t="shared" si="2"/>
        <v>OK</v>
      </c>
      <c r="G129" s="6" t="s">
        <v>161</v>
      </c>
      <c r="H129" s="7" t="str">
        <f t="shared" si="3"/>
        <v>OK</v>
      </c>
      <c r="I129" s="7" t="str">
        <f t="array" ref="I129">XLOOKUP(G129,Label!$A$2:$A$309, Label!$B$2:$B$309)</f>
        <v>Box Color Changed</v>
      </c>
      <c r="J129" s="7" t="str">
        <f t="array" ref="J129">XLOOKUP(G129,Label!$A$2:$A$309, Label!$C$2:$C$309)</f>
        <v/>
      </c>
    </row>
    <row r="130">
      <c r="A130" s="5" t="s">
        <v>131</v>
      </c>
      <c r="B130" s="7" t="str">
        <f t="shared" si="1"/>
        <v>OK</v>
      </c>
      <c r="C130" s="6" t="s">
        <v>162</v>
      </c>
      <c r="E130" s="7" t="str">
        <f t="shared" si="2"/>
        <v>OK</v>
      </c>
      <c r="G130" s="6" t="s">
        <v>162</v>
      </c>
      <c r="H130" s="7" t="str">
        <f t="shared" si="3"/>
        <v>OK</v>
      </c>
      <c r="I130" s="7" t="str">
        <f t="array" ref="I130">XLOOKUP(G130,Label!$A$2:$A$309, Label!$B$2:$B$309)</f>
        <v>Text Color Changed</v>
      </c>
      <c r="J130" s="7" t="str">
        <f t="array" ref="J130">XLOOKUP(G130,Label!$A$2:$A$309, Label!$C$2:$C$309)</f>
        <v/>
      </c>
    </row>
    <row r="131">
      <c r="A131" s="5" t="s">
        <v>132</v>
      </c>
      <c r="B131" s="7" t="str">
        <f t="shared" si="1"/>
        <v>OK</v>
      </c>
      <c r="C131" s="6" t="s">
        <v>163</v>
      </c>
      <c r="E131" s="7" t="str">
        <f t="shared" si="2"/>
        <v>OK</v>
      </c>
      <c r="G131" s="6" t="s">
        <v>163</v>
      </c>
      <c r="H131" s="7" t="str">
        <f t="shared" si="3"/>
        <v>OK</v>
      </c>
      <c r="I131" s="7" t="str">
        <f t="array" ref="I131">XLOOKUP(G131,Label!$A$2:$A$309, Label!$B$2:$B$309)</f>
        <v>Box Color Changed</v>
      </c>
      <c r="J131" s="7" t="str">
        <f t="array" ref="J131">XLOOKUP(G131,Label!$A$2:$A$309, Label!$C$2:$C$309)</f>
        <v/>
      </c>
    </row>
    <row r="132">
      <c r="A132" s="5" t="s">
        <v>133</v>
      </c>
      <c r="B132" s="7" t="str">
        <f t="shared" si="1"/>
        <v>OK</v>
      </c>
      <c r="C132" s="6" t="s">
        <v>164</v>
      </c>
      <c r="E132" s="7" t="str">
        <f t="shared" si="2"/>
        <v>OK</v>
      </c>
      <c r="G132" s="6" t="s">
        <v>164</v>
      </c>
      <c r="H132" s="7" t="str">
        <f t="shared" si="3"/>
        <v>OK</v>
      </c>
      <c r="I132" s="7" t="str">
        <f t="array" ref="I132">XLOOKUP(G132,Label!$A$2:$A$309, Label!$B$2:$B$309)</f>
        <v>Box Color Changed</v>
      </c>
      <c r="J132" s="7" t="str">
        <f t="array" ref="J132">XLOOKUP(G132,Label!$A$2:$A$309, Label!$C$2:$C$309)</f>
        <v/>
      </c>
    </row>
    <row r="133">
      <c r="A133" s="5" t="s">
        <v>135</v>
      </c>
      <c r="B133" s="7" t="str">
        <f t="shared" si="1"/>
        <v>OK</v>
      </c>
      <c r="C133" s="6" t="s">
        <v>165</v>
      </c>
      <c r="E133" s="7" t="str">
        <f t="shared" si="2"/>
        <v>OK</v>
      </c>
      <c r="G133" s="6" t="s">
        <v>165</v>
      </c>
      <c r="H133" s="7" t="str">
        <f t="shared" si="3"/>
        <v>OK</v>
      </c>
      <c r="I133" s="7" t="str">
        <f t="array" ref="I133">XLOOKUP(G133,Label!$A$2:$A$309, Label!$B$2:$B$309)</f>
        <v>OutOfScope: Duplicates</v>
      </c>
      <c r="J133" s="7" t="str">
        <f t="array" ref="J133">XLOOKUP(G133,Label!$A$2:$A$309, Label!$C$2:$C$309)</f>
        <v/>
      </c>
    </row>
    <row r="134">
      <c r="A134" s="5" t="s">
        <v>136</v>
      </c>
      <c r="B134" s="7" t="str">
        <f t="shared" si="1"/>
        <v>OK</v>
      </c>
      <c r="C134" s="6" t="s">
        <v>166</v>
      </c>
      <c r="E134" s="7" t="str">
        <f t="shared" si="2"/>
        <v>OK</v>
      </c>
      <c r="G134" s="6" t="s">
        <v>166</v>
      </c>
      <c r="H134" s="7" t="str">
        <f t="shared" si="3"/>
        <v>OK</v>
      </c>
      <c r="I134" s="7" t="str">
        <f t="array" ref="I134">XLOOKUP(G134,Label!$A$2:$A$309, Label!$B$2:$B$309)</f>
        <v>Text Color Changed</v>
      </c>
      <c r="J134" s="7" t="str">
        <f t="array" ref="J134">XLOOKUP(G134,Label!$A$2:$A$309, Label!$C$2:$C$309)</f>
        <v/>
      </c>
    </row>
    <row r="135">
      <c r="A135" s="5" t="s">
        <v>137</v>
      </c>
      <c r="B135" s="7" t="str">
        <f t="shared" si="1"/>
        <v>OK</v>
      </c>
      <c r="C135" s="6" t="s">
        <v>167</v>
      </c>
      <c r="E135" s="7" t="str">
        <f t="shared" si="2"/>
        <v>OK</v>
      </c>
      <c r="G135" s="6" t="s">
        <v>167</v>
      </c>
      <c r="H135" s="7" t="str">
        <f t="shared" si="3"/>
        <v>OK</v>
      </c>
      <c r="I135" s="7" t="str">
        <f t="array" ref="I135">XLOOKUP(G135,Label!$A$2:$A$309, Label!$B$2:$B$309)</f>
        <v>OutOfScope: New Story</v>
      </c>
      <c r="J135" s="7" t="str">
        <f t="array" ref="J135">XLOOKUP(G135,Label!$A$2:$A$309, Label!$C$2:$C$309)</f>
        <v/>
      </c>
    </row>
    <row r="136">
      <c r="A136" s="5" t="s">
        <v>138</v>
      </c>
      <c r="B136" s="7" t="str">
        <f t="shared" si="1"/>
        <v>OK</v>
      </c>
      <c r="C136" s="6" t="s">
        <v>168</v>
      </c>
      <c r="E136" s="7" t="str">
        <f t="shared" si="2"/>
        <v>OK</v>
      </c>
      <c r="G136" s="6" t="s">
        <v>168</v>
      </c>
      <c r="H136" s="7" t="str">
        <f t="shared" si="3"/>
        <v>OK</v>
      </c>
      <c r="I136" s="7" t="str">
        <f t="array" ref="I136">XLOOKUP(G136,Label!$A$2:$A$309, Label!$B$2:$B$309)</f>
        <v>Box Size Changed</v>
      </c>
      <c r="J136" s="7" t="str">
        <f t="array" ref="J136">XLOOKUP(G136,Label!$A$2:$A$309, Label!$C$2:$C$309)</f>
        <v/>
      </c>
    </row>
    <row r="137">
      <c r="A137" s="5" t="s">
        <v>139</v>
      </c>
      <c r="B137" s="7" t="str">
        <f t="shared" si="1"/>
        <v>OK</v>
      </c>
      <c r="C137" s="6" t="s">
        <v>169</v>
      </c>
      <c r="E137" s="7" t="str">
        <f t="shared" si="2"/>
        <v>OK</v>
      </c>
      <c r="G137" s="6" t="s">
        <v>169</v>
      </c>
      <c r="H137" s="7" t="str">
        <f t="shared" si="3"/>
        <v>OK</v>
      </c>
      <c r="I137" s="7" t="str">
        <f t="array" ref="I137">XLOOKUP(G137,Label!$A$2:$A$309, Label!$B$2:$B$309)</f>
        <v>Box Size Changed</v>
      </c>
      <c r="J137" s="7" t="str">
        <f t="array" ref="J137">XLOOKUP(G137,Label!$A$2:$A$309, Label!$C$2:$C$309)</f>
        <v/>
      </c>
    </row>
    <row r="138">
      <c r="A138" s="5" t="s">
        <v>140</v>
      </c>
      <c r="B138" s="7" t="str">
        <f t="shared" si="1"/>
        <v>OK</v>
      </c>
      <c r="C138" s="6" t="s">
        <v>170</v>
      </c>
      <c r="E138" s="7" t="str">
        <f t="shared" si="2"/>
        <v>OK</v>
      </c>
      <c r="G138" s="6" t="s">
        <v>170</v>
      </c>
      <c r="H138" s="7" t="str">
        <f t="shared" si="3"/>
        <v>OK</v>
      </c>
      <c r="I138" s="7" t="str">
        <f t="array" ref="I138">XLOOKUP(G138,Label!$A$2:$A$309, Label!$B$2:$B$309)</f>
        <v>Default State is Changed</v>
      </c>
      <c r="J138" s="7" t="str">
        <f t="array" ref="J138">XLOOKUP(G138,Label!$A$2:$A$309, Label!$C$2:$C$309)</f>
        <v/>
      </c>
    </row>
    <row r="139">
      <c r="A139" s="8" t="s">
        <v>406</v>
      </c>
      <c r="B139" s="7" t="str">
        <f t="shared" si="1"/>
        <v>no</v>
      </c>
      <c r="C139" s="6" t="s">
        <v>171</v>
      </c>
      <c r="E139" s="7" t="str">
        <f t="shared" si="2"/>
        <v>OK</v>
      </c>
      <c r="G139" s="6" t="s">
        <v>171</v>
      </c>
      <c r="H139" s="7" t="str">
        <f t="shared" si="3"/>
        <v>OK</v>
      </c>
      <c r="I139" s="7" t="str">
        <f t="array" ref="I139">XLOOKUP(G139,Label!$A$2:$A$309, Label!$B$2:$B$309)</f>
        <v>OutOfScope: Duplicates</v>
      </c>
      <c r="J139" s="7" t="str">
        <f t="array" ref="J139">XLOOKUP(G139,Label!$A$2:$A$309, Label!$C$2:$C$309)</f>
        <v/>
      </c>
    </row>
    <row r="140">
      <c r="A140" s="5" t="s">
        <v>141</v>
      </c>
      <c r="B140" s="7" t="str">
        <f t="shared" si="1"/>
        <v>OK</v>
      </c>
      <c r="C140" s="6" t="s">
        <v>172</v>
      </c>
      <c r="E140" s="7" t="str">
        <f t="shared" si="2"/>
        <v>OK</v>
      </c>
      <c r="G140" s="6" t="s">
        <v>172</v>
      </c>
      <c r="H140" s="7" t="str">
        <f t="shared" si="3"/>
        <v>OK</v>
      </c>
      <c r="I140" s="7" t="str">
        <f t="array" ref="I140">XLOOKUP(G140,Label!$A$2:$A$309, Label!$B$2:$B$309)</f>
        <v>OutOfScope: Duplicates</v>
      </c>
      <c r="J140" s="7" t="str">
        <f t="array" ref="J140">XLOOKUP(G140,Label!$A$2:$A$309, Label!$C$2:$C$309)</f>
        <v/>
      </c>
    </row>
    <row r="141">
      <c r="A141" s="5" t="s">
        <v>142</v>
      </c>
      <c r="B141" s="7" t="str">
        <f t="shared" si="1"/>
        <v>OK</v>
      </c>
      <c r="C141" s="6" t="s">
        <v>173</v>
      </c>
      <c r="E141" s="7" t="str">
        <f t="shared" si="2"/>
        <v>OK</v>
      </c>
      <c r="G141" s="6" t="s">
        <v>173</v>
      </c>
      <c r="H141" s="7" t="str">
        <f t="shared" si="3"/>
        <v>OK</v>
      </c>
      <c r="I141" s="7" t="str">
        <f t="array" ref="I141">XLOOKUP(G141,Label!$A$2:$A$309, Label!$B$2:$B$309)</f>
        <v>Layout Shifted</v>
      </c>
      <c r="J141" s="7" t="str">
        <f t="array" ref="J141">XLOOKUP(G141,Label!$A$2:$A$309, Label!$C$2:$C$309)</f>
        <v/>
      </c>
    </row>
    <row r="142">
      <c r="A142" s="5" t="s">
        <v>143</v>
      </c>
      <c r="B142" s="7" t="str">
        <f t="shared" si="1"/>
        <v>OK</v>
      </c>
      <c r="C142" s="6" t="s">
        <v>174</v>
      </c>
      <c r="E142" s="7" t="str">
        <f t="shared" si="2"/>
        <v>OK</v>
      </c>
      <c r="G142" s="6" t="s">
        <v>174</v>
      </c>
      <c r="H142" s="7" t="str">
        <f t="shared" si="3"/>
        <v>OK</v>
      </c>
      <c r="I142" s="7" t="str">
        <f t="array" ref="I142">XLOOKUP(G142,Label!$A$2:$A$309, Label!$B$2:$B$309)</f>
        <v>OutOfScope: New Story</v>
      </c>
      <c r="J142" s="7" t="str">
        <f t="array" ref="J142">XLOOKUP(G142,Label!$A$2:$A$309, Label!$C$2:$C$309)</f>
        <v/>
      </c>
    </row>
    <row r="143">
      <c r="A143" s="5" t="s">
        <v>144</v>
      </c>
      <c r="B143" s="7" t="str">
        <f t="shared" si="1"/>
        <v>OK</v>
      </c>
      <c r="C143" s="6" t="s">
        <v>175</v>
      </c>
      <c r="E143" s="7" t="str">
        <f t="shared" si="2"/>
        <v>OK</v>
      </c>
      <c r="G143" s="6" t="s">
        <v>175</v>
      </c>
      <c r="H143" s="7" t="str">
        <f t="shared" si="3"/>
        <v>OK</v>
      </c>
      <c r="I143" s="7" t="str">
        <f t="array" ref="I143">XLOOKUP(G143,Label!$A$2:$A$309, Label!$B$2:$B$309)</f>
        <v>Undefined/Wrong State is Shown</v>
      </c>
      <c r="J143" s="7" t="str">
        <f t="array" ref="J143">XLOOKUP(G143,Label!$A$2:$A$309, Label!$C$2:$C$309)</f>
        <v/>
      </c>
    </row>
    <row r="144">
      <c r="A144" s="5" t="s">
        <v>145</v>
      </c>
      <c r="B144" s="7" t="str">
        <f t="shared" si="1"/>
        <v>OK</v>
      </c>
      <c r="C144" s="6" t="s">
        <v>176</v>
      </c>
      <c r="E144" s="7" t="str">
        <f t="shared" si="2"/>
        <v>OK</v>
      </c>
      <c r="G144" s="6" t="s">
        <v>176</v>
      </c>
      <c r="H144" s="7" t="str">
        <f t="shared" si="3"/>
        <v>OK</v>
      </c>
      <c r="I144" s="7" t="str">
        <f t="array" ref="I144">XLOOKUP(G144,Label!$A$2:$A$309, Label!$B$2:$B$309)</f>
        <v>OutOfScope: Chromatic Error</v>
      </c>
      <c r="J144" s="7" t="str">
        <f t="array" ref="J144">XLOOKUP(G144,Label!$A$2:$A$309, Label!$C$2:$C$309)</f>
        <v/>
      </c>
    </row>
    <row r="145">
      <c r="A145" s="5" t="s">
        <v>146</v>
      </c>
      <c r="B145" s="7" t="str">
        <f t="shared" si="1"/>
        <v>OK</v>
      </c>
      <c r="C145" s="6" t="s">
        <v>177</v>
      </c>
      <c r="E145" s="7" t="str">
        <f t="shared" si="2"/>
        <v>OK</v>
      </c>
      <c r="G145" s="6" t="s">
        <v>177</v>
      </c>
      <c r="H145" s="7" t="str">
        <f t="shared" si="3"/>
        <v>OK</v>
      </c>
      <c r="I145" s="7" t="str">
        <f t="array" ref="I145">XLOOKUP(G145,Label!$A$2:$A$309, Label!$B$2:$B$309)</f>
        <v>Specific Items are Mis-aligned</v>
      </c>
      <c r="J145" s="7" t="str">
        <f t="array" ref="J145">XLOOKUP(G145,Label!$A$2:$A$309, Label!$C$2:$C$309)</f>
        <v/>
      </c>
    </row>
    <row r="146">
      <c r="A146" s="5" t="s">
        <v>147</v>
      </c>
      <c r="B146" s="7" t="str">
        <f t="shared" si="1"/>
        <v>OK</v>
      </c>
      <c r="C146" s="6" t="s">
        <v>178</v>
      </c>
      <c r="E146" s="7" t="str">
        <f t="shared" si="2"/>
        <v>OK</v>
      </c>
      <c r="G146" s="6" t="s">
        <v>178</v>
      </c>
      <c r="H146" s="7" t="str">
        <f t="shared" si="3"/>
        <v>OK</v>
      </c>
      <c r="I146" s="7" t="str">
        <f t="array" ref="I146">XLOOKUP(G146,Label!$A$2:$A$309, Label!$B$2:$B$309)</f>
        <v>Box Shape Changed</v>
      </c>
      <c r="J146" s="7" t="str">
        <f t="array" ref="J146">XLOOKUP(G146,Label!$A$2:$A$309, Label!$C$2:$C$309)</f>
        <v/>
      </c>
    </row>
    <row r="147">
      <c r="A147" s="5" t="s">
        <v>149</v>
      </c>
      <c r="B147" s="7" t="str">
        <f t="shared" si="1"/>
        <v>OK</v>
      </c>
      <c r="C147" s="6" t="s">
        <v>180</v>
      </c>
      <c r="E147" s="7" t="str">
        <f t="shared" si="2"/>
        <v>OK</v>
      </c>
      <c r="G147" s="6" t="s">
        <v>180</v>
      </c>
      <c r="H147" s="7" t="str">
        <f t="shared" si="3"/>
        <v>OK</v>
      </c>
      <c r="I147" s="7" t="str">
        <f t="array" ref="I147">XLOOKUP(G147,Label!$A$2:$A$309, Label!$B$2:$B$309)</f>
        <v>Layout Shifted</v>
      </c>
      <c r="J147" s="7" t="str">
        <f t="array" ref="J147">XLOOKUP(G147,Label!$A$2:$A$309, Label!$C$2:$C$309)</f>
        <v/>
      </c>
    </row>
    <row r="148">
      <c r="A148" s="5" t="s">
        <v>150</v>
      </c>
      <c r="B148" s="7" t="str">
        <f t="shared" si="1"/>
        <v>OK</v>
      </c>
      <c r="C148" s="6" t="s">
        <v>181</v>
      </c>
      <c r="E148" s="7" t="str">
        <f t="shared" si="2"/>
        <v>OK</v>
      </c>
      <c r="G148" s="6" t="s">
        <v>181</v>
      </c>
      <c r="H148" s="7" t="str">
        <f t="shared" si="3"/>
        <v>OK</v>
      </c>
      <c r="I148" s="7" t="str">
        <f t="array" ref="I148">XLOOKUP(G148,Label!$A$2:$A$309, Label!$B$2:$B$309)</f>
        <v>OutOfScope: New Story</v>
      </c>
      <c r="J148" s="7" t="str">
        <f t="array" ref="J148">XLOOKUP(G148,Label!$A$2:$A$309, Label!$C$2:$C$309)</f>
        <v/>
      </c>
    </row>
    <row r="149">
      <c r="A149" s="5" t="s">
        <v>151</v>
      </c>
      <c r="B149" s="7" t="str">
        <f t="shared" si="1"/>
        <v>OK</v>
      </c>
      <c r="C149" s="6" t="s">
        <v>182</v>
      </c>
      <c r="E149" s="7" t="str">
        <f t="shared" si="2"/>
        <v>OK</v>
      </c>
      <c r="G149" s="6" t="s">
        <v>182</v>
      </c>
      <c r="H149" s="7" t="str">
        <f t="shared" si="3"/>
        <v>OK</v>
      </c>
      <c r="I149" s="7" t="str">
        <f t="array" ref="I149">XLOOKUP(G149,Label!$A$2:$A$309, Label!$B$2:$B$309)</f>
        <v>OutOfScope: New Story</v>
      </c>
      <c r="J149" s="7" t="str">
        <f t="array" ref="J149">XLOOKUP(G149,Label!$A$2:$A$309, Label!$C$2:$C$309)</f>
        <v/>
      </c>
    </row>
    <row r="150">
      <c r="A150" s="5" t="s">
        <v>152</v>
      </c>
      <c r="B150" s="7" t="str">
        <f t="shared" si="1"/>
        <v>OK</v>
      </c>
      <c r="C150" s="6" t="s">
        <v>183</v>
      </c>
      <c r="E150" s="7" t="str">
        <f t="shared" si="2"/>
        <v>OK</v>
      </c>
      <c r="G150" s="6" t="s">
        <v>183</v>
      </c>
      <c r="H150" s="7" t="str">
        <f t="shared" si="3"/>
        <v>OK</v>
      </c>
      <c r="I150" s="7" t="str">
        <f t="array" ref="I150">XLOOKUP(G150,Label!$A$2:$A$309, Label!$B$2:$B$309)</f>
        <v>OutOfScope: Cannot access</v>
      </c>
      <c r="J150" s="7" t="str">
        <f t="array" ref="J150">XLOOKUP(G150,Label!$A$2:$A$309, Label!$C$2:$C$309)</f>
        <v/>
      </c>
    </row>
    <row r="151">
      <c r="A151" s="5" t="s">
        <v>154</v>
      </c>
      <c r="B151" s="7" t="str">
        <f t="shared" si="1"/>
        <v>OK</v>
      </c>
      <c r="C151" s="6" t="s">
        <v>184</v>
      </c>
      <c r="E151" s="7" t="str">
        <f t="shared" si="2"/>
        <v>OK</v>
      </c>
      <c r="G151" s="6" t="s">
        <v>184</v>
      </c>
      <c r="H151" s="7" t="str">
        <f t="shared" si="3"/>
        <v>OK</v>
      </c>
      <c r="I151" s="7" t="str">
        <f t="array" ref="I151">XLOOKUP(G151,Label!$A$2:$A$309, Label!$B$2:$B$309)</f>
        <v>OutOfScope: Duplicates</v>
      </c>
      <c r="J151" s="7" t="str">
        <f t="array" ref="J151">XLOOKUP(G151,Label!$A$2:$A$309, Label!$C$2:$C$309)</f>
        <v/>
      </c>
    </row>
    <row r="152">
      <c r="A152" s="5" t="s">
        <v>155</v>
      </c>
      <c r="B152" s="7" t="str">
        <f t="shared" si="1"/>
        <v>OK</v>
      </c>
      <c r="C152" s="6" t="s">
        <v>185</v>
      </c>
      <c r="E152" s="7" t="str">
        <f t="shared" si="2"/>
        <v>OK</v>
      </c>
      <c r="G152" s="6" t="s">
        <v>185</v>
      </c>
      <c r="H152" s="7" t="str">
        <f t="shared" si="3"/>
        <v>OK</v>
      </c>
      <c r="I152" s="7" t="str">
        <f t="array" ref="I152">XLOOKUP(G152,Label!$A$2:$A$309, Label!$B$2:$B$309)</f>
        <v>Box Size Changed</v>
      </c>
      <c r="J152" s="7" t="str">
        <f t="array" ref="J152">XLOOKUP(G152,Label!$A$2:$A$309, Label!$C$2:$C$309)</f>
        <v/>
      </c>
    </row>
    <row r="153">
      <c r="A153" s="5" t="s">
        <v>156</v>
      </c>
      <c r="B153" s="7" t="str">
        <f t="shared" si="1"/>
        <v>OK</v>
      </c>
      <c r="C153" s="6" t="s">
        <v>186</v>
      </c>
      <c r="E153" s="7" t="str">
        <f t="shared" si="2"/>
        <v>OK</v>
      </c>
      <c r="G153" s="6" t="s">
        <v>186</v>
      </c>
      <c r="H153" s="7" t="str">
        <f t="shared" si="3"/>
        <v>OK</v>
      </c>
      <c r="I153" s="7" t="str">
        <f t="array" ref="I153">XLOOKUP(G153,Label!$A$2:$A$309, Label!$B$2:$B$309)</f>
        <v>Size of Page/Header Changed</v>
      </c>
      <c r="J153" s="7" t="str">
        <f t="array" ref="J153">XLOOKUP(G153,Label!$A$2:$A$309, Label!$C$2:$C$309)</f>
        <v>Specific Items are Mis-aligned</v>
      </c>
    </row>
    <row r="154">
      <c r="A154" s="5" t="s">
        <v>157</v>
      </c>
      <c r="B154" s="7" t="str">
        <f t="shared" si="1"/>
        <v>OK</v>
      </c>
      <c r="C154" s="6" t="s">
        <v>187</v>
      </c>
      <c r="E154" s="7" t="str">
        <f t="shared" si="2"/>
        <v>OK</v>
      </c>
      <c r="G154" s="6" t="s">
        <v>187</v>
      </c>
      <c r="H154" s="7" t="str">
        <f t="shared" si="3"/>
        <v>OK</v>
      </c>
      <c r="I154" s="7" t="str">
        <f t="array" ref="I154">XLOOKUP(G154,Label!$A$2:$A$309, Label!$B$2:$B$309)</f>
        <v>Layout Changed</v>
      </c>
      <c r="J154" s="7" t="str">
        <f t="array" ref="J154">XLOOKUP(G154,Label!$A$2:$A$309, Label!$C$2:$C$309)</f>
        <v>Default State is Changed</v>
      </c>
    </row>
    <row r="155">
      <c r="A155" s="5" t="s">
        <v>158</v>
      </c>
      <c r="B155" s="7" t="str">
        <f t="shared" si="1"/>
        <v>OK</v>
      </c>
      <c r="C155" s="6" t="s">
        <v>188</v>
      </c>
      <c r="E155" s="7" t="str">
        <f t="shared" si="2"/>
        <v>OK</v>
      </c>
      <c r="G155" s="6" t="s">
        <v>188</v>
      </c>
      <c r="H155" s="7" t="str">
        <f t="shared" si="3"/>
        <v>OK</v>
      </c>
      <c r="I155" s="7" t="str">
        <f t="array" ref="I155">XLOOKUP(G155,Label!$A$2:$A$309, Label!$B$2:$B$309)</f>
        <v>Layout Shifted</v>
      </c>
      <c r="J155" s="7" t="str">
        <f t="array" ref="J155">XLOOKUP(G155,Label!$A$2:$A$309, Label!$C$2:$C$309)</f>
        <v>New Contents</v>
      </c>
    </row>
    <row r="156">
      <c r="A156" s="5" t="s">
        <v>159</v>
      </c>
      <c r="B156" s="7" t="str">
        <f t="shared" si="1"/>
        <v>OK</v>
      </c>
      <c r="C156" s="6" t="s">
        <v>189</v>
      </c>
      <c r="E156" s="7" t="str">
        <f t="shared" si="2"/>
        <v>OK</v>
      </c>
      <c r="G156" s="6" t="s">
        <v>189</v>
      </c>
      <c r="H156" s="7" t="str">
        <f t="shared" si="3"/>
        <v>OK</v>
      </c>
      <c r="I156" s="7" t="str">
        <f t="array" ref="I156">XLOOKUP(G156,Label!$A$2:$A$309, Label!$B$2:$B$309)</f>
        <v>OutOfScope: Chromatic Error</v>
      </c>
      <c r="J156" s="7" t="str">
        <f t="array" ref="J156">XLOOKUP(G156,Label!$A$2:$A$309, Label!$C$2:$C$309)</f>
        <v/>
      </c>
    </row>
    <row r="157">
      <c r="A157" s="5" t="s">
        <v>161</v>
      </c>
      <c r="B157" s="7" t="str">
        <f t="shared" si="1"/>
        <v>OK</v>
      </c>
      <c r="C157" s="6" t="s">
        <v>190</v>
      </c>
      <c r="E157" s="7" t="str">
        <f t="shared" si="2"/>
        <v>OK</v>
      </c>
      <c r="G157" s="6" t="s">
        <v>190</v>
      </c>
      <c r="H157" s="7" t="str">
        <f t="shared" si="3"/>
        <v>OK</v>
      </c>
      <c r="I157" s="7" t="str">
        <f t="array" ref="I157">XLOOKUP(G157,Label!$A$2:$A$309, Label!$B$2:$B$309)</f>
        <v>OutOfScope: New Story</v>
      </c>
      <c r="J157" s="7" t="str">
        <f t="array" ref="J157">XLOOKUP(G157,Label!$A$2:$A$309, Label!$C$2:$C$309)</f>
        <v/>
      </c>
    </row>
    <row r="158">
      <c r="A158" s="5" t="s">
        <v>162</v>
      </c>
      <c r="B158" s="7" t="str">
        <f t="shared" si="1"/>
        <v>OK</v>
      </c>
      <c r="C158" s="6" t="s">
        <v>191</v>
      </c>
      <c r="E158" s="7" t="str">
        <f t="shared" si="2"/>
        <v>OK</v>
      </c>
      <c r="G158" s="6" t="s">
        <v>191</v>
      </c>
      <c r="H158" s="7" t="str">
        <f t="shared" si="3"/>
        <v>OK</v>
      </c>
      <c r="I158" s="7" t="str">
        <f t="array" ref="I158">XLOOKUP(G158,Label!$A$2:$A$309, Label!$B$2:$B$309)</f>
        <v>OutOfScope: New Story</v>
      </c>
      <c r="J158" s="7" t="str">
        <f t="array" ref="J158">XLOOKUP(G158,Label!$A$2:$A$309, Label!$C$2:$C$309)</f>
        <v/>
      </c>
    </row>
    <row r="159">
      <c r="A159" s="5" t="s">
        <v>163</v>
      </c>
      <c r="B159" s="7" t="str">
        <f t="shared" si="1"/>
        <v>OK</v>
      </c>
      <c r="C159" s="6" t="s">
        <v>192</v>
      </c>
      <c r="E159" s="7" t="str">
        <f t="shared" si="2"/>
        <v>OK</v>
      </c>
      <c r="G159" s="6" t="s">
        <v>192</v>
      </c>
      <c r="H159" s="7" t="str">
        <f t="shared" si="3"/>
        <v>OK</v>
      </c>
      <c r="I159" s="7" t="str">
        <f t="array" ref="I159">XLOOKUP(G159,Label!$A$2:$A$309, Label!$B$2:$B$309)</f>
        <v>Layout Shifted</v>
      </c>
      <c r="J159" s="7" t="str">
        <f t="array" ref="J159">XLOOKUP(G159,Label!$A$2:$A$309, Label!$C$2:$C$309)</f>
        <v/>
      </c>
    </row>
    <row r="160">
      <c r="A160" s="5" t="s">
        <v>164</v>
      </c>
      <c r="B160" s="7" t="str">
        <f t="shared" si="1"/>
        <v>OK</v>
      </c>
      <c r="C160" s="6" t="s">
        <v>193</v>
      </c>
      <c r="E160" s="7" t="str">
        <f t="shared" si="2"/>
        <v>OK</v>
      </c>
      <c r="G160" s="6" t="s">
        <v>193</v>
      </c>
      <c r="H160" s="7" t="str">
        <f t="shared" si="3"/>
        <v>OK</v>
      </c>
      <c r="I160" s="7" t="str">
        <f t="array" ref="I160">XLOOKUP(G160,Label!$A$2:$A$309, Label!$B$2:$B$309)</f>
        <v>OutOfScope: New Story</v>
      </c>
      <c r="J160" s="7" t="str">
        <f t="array" ref="J160">XLOOKUP(G160,Label!$A$2:$A$309, Label!$C$2:$C$309)</f>
        <v/>
      </c>
    </row>
    <row r="161">
      <c r="A161" s="5" t="s">
        <v>165</v>
      </c>
      <c r="B161" s="7" t="str">
        <f t="shared" si="1"/>
        <v>OK</v>
      </c>
      <c r="C161" s="6" t="s">
        <v>194</v>
      </c>
      <c r="E161" s="7" t="str">
        <f t="shared" si="2"/>
        <v>OK</v>
      </c>
      <c r="G161" s="6" t="s">
        <v>194</v>
      </c>
      <c r="H161" s="7" t="str">
        <f t="shared" si="3"/>
        <v>OK</v>
      </c>
      <c r="I161" s="7" t="str">
        <f t="array" ref="I161">XLOOKUP(G161,Label!$A$2:$A$309, Label!$B$2:$B$309)</f>
        <v>No Changes</v>
      </c>
      <c r="J161" s="7" t="str">
        <f t="array" ref="J161">XLOOKUP(G161,Label!$A$2:$A$309, Label!$C$2:$C$309)</f>
        <v/>
      </c>
    </row>
    <row r="162">
      <c r="A162" s="5" t="s">
        <v>166</v>
      </c>
      <c r="B162" s="7" t="str">
        <f t="shared" si="1"/>
        <v>OK</v>
      </c>
      <c r="C162" s="6" t="s">
        <v>196</v>
      </c>
      <c r="E162" s="7" t="str">
        <f t="shared" si="2"/>
        <v>OK</v>
      </c>
      <c r="G162" s="6" t="s">
        <v>196</v>
      </c>
      <c r="H162" s="7" t="str">
        <f t="shared" si="3"/>
        <v>OK</v>
      </c>
      <c r="I162" s="7" t="str">
        <f t="array" ref="I162">XLOOKUP(G162,Label!$A$2:$A$309, Label!$B$2:$B$309)</f>
        <v>Layout Shifted</v>
      </c>
      <c r="J162" s="7" t="str">
        <f t="array" ref="J162">XLOOKUP(G162,Label!$A$2:$A$309, Label!$C$2:$C$309)</f>
        <v>Box Disappeared</v>
      </c>
    </row>
    <row r="163">
      <c r="A163" s="5" t="s">
        <v>167</v>
      </c>
      <c r="B163" s="7" t="str">
        <f t="shared" si="1"/>
        <v>OK</v>
      </c>
      <c r="C163" s="6" t="s">
        <v>198</v>
      </c>
      <c r="E163" s="7" t="str">
        <f t="shared" si="2"/>
        <v>OK</v>
      </c>
      <c r="G163" s="6" t="s">
        <v>198</v>
      </c>
      <c r="H163" s="7" t="str">
        <f t="shared" si="3"/>
        <v>OK</v>
      </c>
      <c r="I163" s="7" t="str">
        <f t="array" ref="I163">XLOOKUP(G163,Label!$A$2:$A$309, Label!$B$2:$B$309)</f>
        <v>Layout Shifted</v>
      </c>
      <c r="J163" s="7" t="str">
        <f t="array" ref="J163">XLOOKUP(G163,Label!$A$2:$A$309, Label!$C$2:$C$309)</f>
        <v/>
      </c>
    </row>
    <row r="164">
      <c r="A164" s="5" t="s">
        <v>168</v>
      </c>
      <c r="B164" s="7" t="str">
        <f t="shared" si="1"/>
        <v>OK</v>
      </c>
      <c r="C164" s="6" t="s">
        <v>199</v>
      </c>
      <c r="E164" s="7" t="str">
        <f t="shared" si="2"/>
        <v>OK</v>
      </c>
      <c r="G164" s="6" t="s">
        <v>199</v>
      </c>
      <c r="H164" s="7" t="str">
        <f t="shared" si="3"/>
        <v>OK</v>
      </c>
      <c r="I164" s="7" t="str">
        <f t="array" ref="I164">XLOOKUP(G164,Label!$A$2:$A$309, Label!$B$2:$B$309)</f>
        <v>Box Shape Changed</v>
      </c>
      <c r="J164" s="7" t="str">
        <f t="array" ref="J164">XLOOKUP(G164,Label!$A$2:$A$309, Label!$C$2:$C$309)</f>
        <v/>
      </c>
    </row>
    <row r="165">
      <c r="A165" s="5" t="s">
        <v>169</v>
      </c>
      <c r="B165" s="7" t="str">
        <f t="shared" si="1"/>
        <v>OK</v>
      </c>
      <c r="C165" s="6" t="s">
        <v>200</v>
      </c>
      <c r="E165" s="7" t="str">
        <f t="shared" si="2"/>
        <v>OK</v>
      </c>
      <c r="G165" s="6" t="s">
        <v>200</v>
      </c>
      <c r="H165" s="7" t="str">
        <f t="shared" si="3"/>
        <v>OK</v>
      </c>
      <c r="I165" s="7" t="str">
        <f t="array" ref="I165">XLOOKUP(G165,Label!$A$2:$A$309, Label!$B$2:$B$309)</f>
        <v>OutOfScope: Duplicates</v>
      </c>
      <c r="J165" s="7" t="str">
        <f t="array" ref="J165">XLOOKUP(G165,Label!$A$2:$A$309, Label!$C$2:$C$309)</f>
        <v/>
      </c>
    </row>
    <row r="166">
      <c r="A166" s="5" t="s">
        <v>170</v>
      </c>
      <c r="B166" s="7" t="str">
        <f t="shared" si="1"/>
        <v>OK</v>
      </c>
      <c r="C166" s="6" t="s">
        <v>201</v>
      </c>
      <c r="E166" s="7" t="str">
        <f t="shared" si="2"/>
        <v>OK</v>
      </c>
      <c r="G166" s="6" t="s">
        <v>201</v>
      </c>
      <c r="H166" s="7" t="str">
        <f t="shared" si="3"/>
        <v>OK</v>
      </c>
      <c r="I166" s="7" t="str">
        <f t="array" ref="I166">XLOOKUP(G166,Label!$A$2:$A$309, Label!$B$2:$B$309)</f>
        <v>Layout Shifted</v>
      </c>
      <c r="J166" s="7" t="str">
        <f t="array" ref="J166">XLOOKUP(G166,Label!$A$2:$A$309, Label!$C$2:$C$309)</f>
        <v>Box Disappeared</v>
      </c>
    </row>
    <row r="167">
      <c r="A167" s="5" t="s">
        <v>171</v>
      </c>
      <c r="B167" s="7" t="str">
        <f t="shared" si="1"/>
        <v>OK</v>
      </c>
      <c r="C167" s="6" t="s">
        <v>202</v>
      </c>
      <c r="E167" s="7" t="str">
        <f t="shared" si="2"/>
        <v>OK</v>
      </c>
      <c r="G167" s="6" t="s">
        <v>202</v>
      </c>
      <c r="H167" s="7" t="str">
        <f t="shared" si="3"/>
        <v>OK</v>
      </c>
      <c r="I167" s="7" t="str">
        <f t="array" ref="I167">XLOOKUP(G167,Label!$A$2:$A$309, Label!$B$2:$B$309)</f>
        <v>OutOfScope: Cannot access</v>
      </c>
      <c r="J167" s="7" t="str">
        <f t="array" ref="J167">XLOOKUP(G167,Label!$A$2:$A$309, Label!$C$2:$C$309)</f>
        <v/>
      </c>
    </row>
    <row r="168">
      <c r="A168" s="5" t="s">
        <v>172</v>
      </c>
      <c r="B168" s="7" t="str">
        <f t="shared" si="1"/>
        <v>OK</v>
      </c>
      <c r="C168" s="6" t="s">
        <v>203</v>
      </c>
      <c r="E168" s="7" t="str">
        <f t="shared" si="2"/>
        <v>OK</v>
      </c>
      <c r="G168" s="6" t="s">
        <v>203</v>
      </c>
      <c r="H168" s="7" t="str">
        <f t="shared" si="3"/>
        <v>OK</v>
      </c>
      <c r="I168" s="7" t="str">
        <f t="array" ref="I168">XLOOKUP(G168,Label!$A$2:$A$309, Label!$B$2:$B$309)</f>
        <v>OutOfScope: Duplicates</v>
      </c>
      <c r="J168" s="7" t="str">
        <f t="array" ref="J168">XLOOKUP(G168,Label!$A$2:$A$309, Label!$C$2:$C$309)</f>
        <v/>
      </c>
    </row>
    <row r="169">
      <c r="A169" s="5" t="s">
        <v>173</v>
      </c>
      <c r="B169" s="7" t="str">
        <f t="shared" si="1"/>
        <v>OK</v>
      </c>
      <c r="C169" s="6" t="s">
        <v>204</v>
      </c>
      <c r="E169" s="7" t="str">
        <f t="shared" si="2"/>
        <v>OK</v>
      </c>
      <c r="G169" s="6" t="s">
        <v>204</v>
      </c>
      <c r="H169" s="7" t="str">
        <f t="shared" si="3"/>
        <v>OK</v>
      </c>
      <c r="I169" s="7" t="str">
        <f t="array" ref="I169">XLOOKUP(G169,Label!$A$2:$A$309, Label!$B$2:$B$309)</f>
        <v>OutOfScope: New Story</v>
      </c>
      <c r="J169" s="7" t="str">
        <f t="array" ref="J169">XLOOKUP(G169,Label!$A$2:$A$309, Label!$C$2:$C$309)</f>
        <v/>
      </c>
    </row>
    <row r="170">
      <c r="A170" s="8" t="s">
        <v>407</v>
      </c>
      <c r="B170" s="7" t="str">
        <f t="shared" si="1"/>
        <v>no</v>
      </c>
      <c r="C170" s="6" t="s">
        <v>205</v>
      </c>
      <c r="E170" s="7" t="str">
        <f t="shared" si="2"/>
        <v>OK</v>
      </c>
      <c r="G170" s="6" t="s">
        <v>205</v>
      </c>
      <c r="H170" s="7" t="str">
        <f t="shared" si="3"/>
        <v>OK</v>
      </c>
      <c r="I170" s="7" t="str">
        <f t="array" ref="I170">XLOOKUP(G170,Label!$A$2:$A$309, Label!$B$2:$B$309)</f>
        <v>OutOfScope: Duplicates</v>
      </c>
      <c r="J170" s="7" t="str">
        <f t="array" ref="J170">XLOOKUP(G170,Label!$A$2:$A$309, Label!$C$2:$C$309)</f>
        <v/>
      </c>
    </row>
    <row r="171">
      <c r="A171" s="5" t="s">
        <v>174</v>
      </c>
      <c r="B171" s="7" t="str">
        <f t="shared" si="1"/>
        <v>OK</v>
      </c>
      <c r="C171" s="6" t="s">
        <v>206</v>
      </c>
      <c r="E171" s="7" t="str">
        <f t="shared" si="2"/>
        <v>OK</v>
      </c>
      <c r="G171" s="6" t="s">
        <v>206</v>
      </c>
      <c r="H171" s="7" t="str">
        <f t="shared" si="3"/>
        <v>OK</v>
      </c>
      <c r="I171" s="7" t="str">
        <f t="array" ref="I171">XLOOKUP(G171,Label!$A$2:$A$309, Label!$B$2:$B$309)</f>
        <v>New Contents</v>
      </c>
      <c r="J171" s="7" t="str">
        <f t="array" ref="J171">XLOOKUP(G171,Label!$A$2:$A$309, Label!$C$2:$C$309)</f>
        <v/>
      </c>
    </row>
    <row r="172">
      <c r="A172" s="5" t="s">
        <v>175</v>
      </c>
      <c r="B172" s="7" t="str">
        <f t="shared" si="1"/>
        <v>OK</v>
      </c>
      <c r="C172" s="6" t="s">
        <v>207</v>
      </c>
      <c r="E172" s="7" t="str">
        <f t="shared" si="2"/>
        <v>OK</v>
      </c>
      <c r="G172" s="6" t="s">
        <v>207</v>
      </c>
      <c r="H172" s="7" t="str">
        <f t="shared" si="3"/>
        <v>OK</v>
      </c>
      <c r="I172" s="7" t="str">
        <f t="array" ref="I172">XLOOKUP(G172,Label!$A$2:$A$309, Label!$B$2:$B$309)</f>
        <v>OutOfScope: Duplicates</v>
      </c>
      <c r="J172" s="7" t="str">
        <f t="array" ref="J172">XLOOKUP(G172,Label!$A$2:$A$309, Label!$C$2:$C$309)</f>
        <v/>
      </c>
    </row>
    <row r="173">
      <c r="A173" s="5" t="s">
        <v>176</v>
      </c>
      <c r="B173" s="7" t="str">
        <f t="shared" si="1"/>
        <v>OK</v>
      </c>
      <c r="C173" s="6" t="s">
        <v>208</v>
      </c>
      <c r="E173" s="7" t="str">
        <f t="shared" si="2"/>
        <v>OK</v>
      </c>
      <c r="G173" s="6" t="s">
        <v>208</v>
      </c>
      <c r="H173" s="7" t="str">
        <f t="shared" si="3"/>
        <v>OK</v>
      </c>
      <c r="I173" s="7" t="str">
        <f t="array" ref="I173">XLOOKUP(G173,Label!$A$2:$A$309, Label!$B$2:$B$309)</f>
        <v>Layout Shifted</v>
      </c>
      <c r="J173" s="7" t="str">
        <f t="array" ref="J173">XLOOKUP(G173,Label!$A$2:$A$309, Label!$C$2:$C$309)</f>
        <v/>
      </c>
    </row>
    <row r="174">
      <c r="A174" s="5" t="s">
        <v>177</v>
      </c>
      <c r="B174" s="7" t="str">
        <f t="shared" si="1"/>
        <v>OK</v>
      </c>
      <c r="C174" s="6" t="s">
        <v>209</v>
      </c>
      <c r="E174" s="7" t="str">
        <f t="shared" si="2"/>
        <v>OK</v>
      </c>
      <c r="G174" s="6" t="s">
        <v>209</v>
      </c>
      <c r="H174" s="7" t="str">
        <f t="shared" si="3"/>
        <v>OK</v>
      </c>
      <c r="I174" s="7" t="str">
        <f t="array" ref="I174">XLOOKUP(G174,Label!$A$2:$A$309, Label!$B$2:$B$309)</f>
        <v>OutOfScope: New Story</v>
      </c>
      <c r="J174" s="7" t="str">
        <f t="array" ref="J174">XLOOKUP(G174,Label!$A$2:$A$309, Label!$C$2:$C$309)</f>
        <v/>
      </c>
    </row>
    <row r="175">
      <c r="A175" s="5" t="s">
        <v>178</v>
      </c>
      <c r="B175" s="7" t="str">
        <f t="shared" si="1"/>
        <v>OK</v>
      </c>
      <c r="C175" s="6" t="s">
        <v>210</v>
      </c>
      <c r="E175" s="7" t="str">
        <f t="shared" si="2"/>
        <v>OK</v>
      </c>
      <c r="G175" s="6" t="s">
        <v>210</v>
      </c>
      <c r="H175" s="7" t="str">
        <f t="shared" si="3"/>
        <v>OK</v>
      </c>
      <c r="I175" s="7" t="str">
        <f t="array" ref="I175">XLOOKUP(G175,Label!$A$2:$A$309, Label!$B$2:$B$309)</f>
        <v>Image Adjusted</v>
      </c>
      <c r="J175" s="7" t="str">
        <f t="array" ref="J175">XLOOKUP(G175,Label!$A$2:$A$309, Label!$C$2:$C$309)</f>
        <v/>
      </c>
    </row>
    <row r="176">
      <c r="A176" s="5" t="s">
        <v>180</v>
      </c>
      <c r="B176" s="7" t="str">
        <f t="shared" si="1"/>
        <v>OK</v>
      </c>
      <c r="C176" s="6" t="s">
        <v>211</v>
      </c>
      <c r="E176" s="7" t="str">
        <f t="shared" si="2"/>
        <v>OK</v>
      </c>
      <c r="G176" s="6" t="s">
        <v>211</v>
      </c>
      <c r="H176" s="7" t="str">
        <f t="shared" si="3"/>
        <v>OK</v>
      </c>
      <c r="I176" s="7" t="str">
        <f t="array" ref="I176">XLOOKUP(G176,Label!$A$2:$A$309, Label!$B$2:$B$309)</f>
        <v>OutOfScope: Chromatic Error</v>
      </c>
      <c r="J176" s="7" t="str">
        <f t="array" ref="J176">XLOOKUP(G176,Label!$A$2:$A$309, Label!$C$2:$C$309)</f>
        <v/>
      </c>
    </row>
    <row r="177">
      <c r="A177" s="5" t="s">
        <v>181</v>
      </c>
      <c r="B177" s="7" t="str">
        <f t="shared" si="1"/>
        <v>OK</v>
      </c>
      <c r="C177" s="6" t="s">
        <v>212</v>
      </c>
      <c r="E177" s="7" t="str">
        <f t="shared" si="2"/>
        <v>OK</v>
      </c>
      <c r="G177" s="6" t="s">
        <v>212</v>
      </c>
      <c r="H177" s="7" t="str">
        <f t="shared" si="3"/>
        <v>OK</v>
      </c>
      <c r="I177" s="7" t="str">
        <f t="array" ref="I177">XLOOKUP(G177,Label!$A$2:$A$309, Label!$B$2:$B$309)</f>
        <v>Text Color Changed</v>
      </c>
      <c r="J177" s="7" t="str">
        <f t="array" ref="J177">XLOOKUP(G177,Label!$A$2:$A$309, Label!$C$2:$C$309)</f>
        <v/>
      </c>
    </row>
    <row r="178">
      <c r="A178" s="5" t="s">
        <v>408</v>
      </c>
      <c r="B178" s="7" t="str">
        <f t="shared" si="1"/>
        <v>no</v>
      </c>
      <c r="C178" s="6" t="s">
        <v>213</v>
      </c>
      <c r="E178" s="7" t="str">
        <f t="shared" si="2"/>
        <v>OK</v>
      </c>
      <c r="G178" s="6" t="s">
        <v>213</v>
      </c>
      <c r="H178" s="7" t="str">
        <f t="shared" si="3"/>
        <v>OK</v>
      </c>
      <c r="I178" s="7" t="str">
        <f t="array" ref="I178">XLOOKUP(G178,Label!$A$2:$A$309, Label!$B$2:$B$309)</f>
        <v>Box Size Changed</v>
      </c>
      <c r="J178" s="7" t="str">
        <f t="array" ref="J178">XLOOKUP(G178,Label!$A$2:$A$309, Label!$C$2:$C$309)</f>
        <v/>
      </c>
    </row>
    <row r="179">
      <c r="A179" s="5" t="s">
        <v>182</v>
      </c>
      <c r="B179" s="7" t="str">
        <f t="shared" si="1"/>
        <v>OK</v>
      </c>
      <c r="C179" s="6" t="s">
        <v>214</v>
      </c>
      <c r="E179" s="7" t="str">
        <f t="shared" si="2"/>
        <v>OK</v>
      </c>
      <c r="G179" s="6" t="s">
        <v>214</v>
      </c>
      <c r="H179" s="7" t="str">
        <f t="shared" si="3"/>
        <v>OK</v>
      </c>
      <c r="I179" s="7" t="str">
        <f t="array" ref="I179">XLOOKUP(G179,Label!$A$2:$A$309, Label!$B$2:$B$309)</f>
        <v>Default State is Changed</v>
      </c>
      <c r="J179" s="7" t="str">
        <f t="array" ref="J179">XLOOKUP(G179,Label!$A$2:$A$309, Label!$C$2:$C$309)</f>
        <v/>
      </c>
    </row>
    <row r="180">
      <c r="A180" s="5" t="s">
        <v>183</v>
      </c>
      <c r="B180" s="7" t="str">
        <f t="shared" si="1"/>
        <v>OK</v>
      </c>
      <c r="C180" s="6" t="s">
        <v>215</v>
      </c>
      <c r="E180" s="7" t="str">
        <f t="shared" si="2"/>
        <v>OK</v>
      </c>
      <c r="G180" s="6" t="s">
        <v>215</v>
      </c>
      <c r="H180" s="7" t="str">
        <f t="shared" si="3"/>
        <v>OK</v>
      </c>
      <c r="I180" s="7" t="str">
        <f t="array" ref="I180">XLOOKUP(G180,Label!$A$2:$A$309, Label!$B$2:$B$309)</f>
        <v>OutOfScope: Duplicates</v>
      </c>
      <c r="J180" s="7" t="str">
        <f t="array" ref="J180">XLOOKUP(G180,Label!$A$2:$A$309, Label!$C$2:$C$309)</f>
        <v/>
      </c>
    </row>
    <row r="181">
      <c r="A181" s="5" t="s">
        <v>184</v>
      </c>
      <c r="B181" s="7" t="str">
        <f t="shared" si="1"/>
        <v>OK</v>
      </c>
      <c r="C181" s="6" t="s">
        <v>216</v>
      </c>
      <c r="E181" s="7" t="str">
        <f t="shared" si="2"/>
        <v>OK</v>
      </c>
      <c r="G181" s="6" t="s">
        <v>216</v>
      </c>
      <c r="H181" s="7" t="str">
        <f t="shared" si="3"/>
        <v>OK</v>
      </c>
      <c r="I181" s="7" t="str">
        <f t="array" ref="I181">XLOOKUP(G181,Label!$A$2:$A$309, Label!$B$2:$B$309)</f>
        <v>Specific Items are Mis-aligned</v>
      </c>
      <c r="J181" s="7" t="str">
        <f t="array" ref="J181">XLOOKUP(G181,Label!$A$2:$A$309, Label!$C$2:$C$309)</f>
        <v/>
      </c>
    </row>
    <row r="182">
      <c r="A182" s="5" t="s">
        <v>185</v>
      </c>
      <c r="B182" s="7" t="str">
        <f t="shared" si="1"/>
        <v>OK</v>
      </c>
      <c r="C182" s="6" t="s">
        <v>217</v>
      </c>
      <c r="E182" s="7" t="str">
        <f t="shared" si="2"/>
        <v>OK</v>
      </c>
      <c r="G182" s="6" t="s">
        <v>217</v>
      </c>
      <c r="H182" s="7" t="str">
        <f t="shared" si="3"/>
        <v>OK</v>
      </c>
      <c r="I182" s="7" t="str">
        <f t="array" ref="I182">XLOOKUP(G182,Label!$A$2:$A$309, Label!$B$2:$B$309)</f>
        <v>OutOfScope: Duplicates</v>
      </c>
      <c r="J182" s="7" t="str">
        <f t="array" ref="J182">XLOOKUP(G182,Label!$A$2:$A$309, Label!$C$2:$C$309)</f>
        <v/>
      </c>
    </row>
    <row r="183">
      <c r="A183" s="5" t="s">
        <v>186</v>
      </c>
      <c r="B183" s="7" t="str">
        <f t="shared" si="1"/>
        <v>OK</v>
      </c>
      <c r="C183" s="6" t="s">
        <v>218</v>
      </c>
      <c r="E183" s="7" t="str">
        <f t="shared" si="2"/>
        <v>OK</v>
      </c>
      <c r="G183" s="6" t="s">
        <v>218</v>
      </c>
      <c r="H183" s="7" t="str">
        <f t="shared" si="3"/>
        <v>OK</v>
      </c>
      <c r="I183" s="7" t="str">
        <f t="array" ref="I183">XLOOKUP(G183,Label!$A$2:$A$309, Label!$B$2:$B$309)</f>
        <v>Layout Shifted</v>
      </c>
      <c r="J183" s="7" t="str">
        <f t="array" ref="J183">XLOOKUP(G183,Label!$A$2:$A$309, Label!$C$2:$C$309)</f>
        <v/>
      </c>
    </row>
    <row r="184">
      <c r="A184" s="5" t="s">
        <v>187</v>
      </c>
      <c r="B184" s="7" t="str">
        <f t="shared" si="1"/>
        <v>OK</v>
      </c>
      <c r="C184" s="6" t="s">
        <v>219</v>
      </c>
      <c r="E184" s="7" t="str">
        <f t="shared" si="2"/>
        <v>OK</v>
      </c>
      <c r="G184" s="6" t="s">
        <v>219</v>
      </c>
      <c r="H184" s="7" t="str">
        <f t="shared" si="3"/>
        <v>OK</v>
      </c>
      <c r="I184" s="7" t="str">
        <f t="array" ref="I184">XLOOKUP(G184,Label!$A$2:$A$309, Label!$B$2:$B$309)</f>
        <v>Layout Shifted</v>
      </c>
      <c r="J184" s="7" t="str">
        <f t="array" ref="J184">XLOOKUP(G184,Label!$A$2:$A$309, Label!$C$2:$C$309)</f>
        <v>Border Disappeared</v>
      </c>
    </row>
    <row r="185">
      <c r="A185" s="5" t="s">
        <v>188</v>
      </c>
      <c r="B185" s="7" t="str">
        <f t="shared" si="1"/>
        <v>OK</v>
      </c>
      <c r="C185" s="6" t="s">
        <v>220</v>
      </c>
      <c r="E185" s="7" t="str">
        <f t="shared" si="2"/>
        <v>OK</v>
      </c>
      <c r="G185" s="6" t="s">
        <v>220</v>
      </c>
      <c r="H185" s="7" t="str">
        <f t="shared" si="3"/>
        <v>OK</v>
      </c>
      <c r="I185" s="7" t="str">
        <f t="array" ref="I185">XLOOKUP(G185,Label!$A$2:$A$309, Label!$B$2:$B$309)</f>
        <v>OutOfScope: Cannot access</v>
      </c>
      <c r="J185" s="7" t="str">
        <f t="array" ref="J185">XLOOKUP(G185,Label!$A$2:$A$309, Label!$C$2:$C$309)</f>
        <v/>
      </c>
    </row>
    <row r="186">
      <c r="A186" s="5" t="s">
        <v>189</v>
      </c>
      <c r="B186" s="7" t="str">
        <f t="shared" si="1"/>
        <v>OK</v>
      </c>
      <c r="C186" s="6" t="s">
        <v>221</v>
      </c>
      <c r="E186" s="7" t="str">
        <f t="shared" si="2"/>
        <v>OK</v>
      </c>
      <c r="G186" s="6" t="s">
        <v>221</v>
      </c>
      <c r="H186" s="7" t="str">
        <f t="shared" si="3"/>
        <v>OK</v>
      </c>
      <c r="I186" s="7" t="str">
        <f t="array" ref="I186">XLOOKUP(G186,Label!$A$2:$A$309, Label!$B$2:$B$309)</f>
        <v>OutOfScope: Cannot access</v>
      </c>
      <c r="J186" s="7" t="str">
        <f t="array" ref="J186">XLOOKUP(G186,Label!$A$2:$A$309, Label!$C$2:$C$309)</f>
        <v/>
      </c>
    </row>
    <row r="187">
      <c r="A187" s="5" t="s">
        <v>190</v>
      </c>
      <c r="B187" s="7" t="str">
        <f t="shared" si="1"/>
        <v>OK</v>
      </c>
      <c r="C187" s="6" t="s">
        <v>222</v>
      </c>
      <c r="E187" s="7" t="str">
        <f t="shared" si="2"/>
        <v>OK</v>
      </c>
      <c r="G187" s="6" t="s">
        <v>222</v>
      </c>
      <c r="H187" s="7" t="str">
        <f t="shared" si="3"/>
        <v>OK</v>
      </c>
      <c r="I187" s="7" t="str">
        <f t="array" ref="I187">XLOOKUP(G187,Label!$A$2:$A$309, Label!$B$2:$B$309)</f>
        <v>OutOfScope: Cannot access</v>
      </c>
      <c r="J187" s="7" t="str">
        <f t="array" ref="J187">XLOOKUP(G187,Label!$A$2:$A$309, Label!$C$2:$C$309)</f>
        <v/>
      </c>
    </row>
    <row r="188">
      <c r="A188" s="5" t="s">
        <v>191</v>
      </c>
      <c r="B188" s="7" t="str">
        <f t="shared" si="1"/>
        <v>OK</v>
      </c>
      <c r="C188" s="6" t="s">
        <v>223</v>
      </c>
      <c r="E188" s="7" t="str">
        <f t="shared" si="2"/>
        <v>OK</v>
      </c>
      <c r="G188" s="6" t="s">
        <v>223</v>
      </c>
      <c r="H188" s="7" t="str">
        <f t="shared" si="3"/>
        <v>OK</v>
      </c>
      <c r="I188" s="7" t="str">
        <f t="array" ref="I188">XLOOKUP(G188,Label!$A$2:$A$309, Label!$B$2:$B$309)</f>
        <v>OutOfScope: Cannot access</v>
      </c>
      <c r="J188" s="7" t="str">
        <f t="array" ref="J188">XLOOKUP(G188,Label!$A$2:$A$309, Label!$C$2:$C$309)</f>
        <v/>
      </c>
    </row>
    <row r="189">
      <c r="A189" s="5" t="s">
        <v>192</v>
      </c>
      <c r="B189" s="7" t="str">
        <f t="shared" si="1"/>
        <v>OK</v>
      </c>
      <c r="C189" s="6" t="s">
        <v>224</v>
      </c>
      <c r="E189" s="7" t="str">
        <f t="shared" si="2"/>
        <v>OK</v>
      </c>
      <c r="G189" s="6" t="s">
        <v>224</v>
      </c>
      <c r="H189" s="7" t="str">
        <f t="shared" si="3"/>
        <v>OK</v>
      </c>
      <c r="I189" s="7" t="str">
        <f t="array" ref="I189">XLOOKUP(G189,Label!$A$2:$A$309, Label!$B$2:$B$309)</f>
        <v>OutOfScope: New Story</v>
      </c>
      <c r="J189" s="7" t="str">
        <f t="array" ref="J189">XLOOKUP(G189,Label!$A$2:$A$309, Label!$C$2:$C$309)</f>
        <v/>
      </c>
    </row>
    <row r="190">
      <c r="A190" s="5" t="s">
        <v>193</v>
      </c>
      <c r="B190" s="7" t="str">
        <f t="shared" si="1"/>
        <v>OK</v>
      </c>
      <c r="C190" s="6" t="s">
        <v>225</v>
      </c>
      <c r="E190" s="7" t="str">
        <f t="shared" si="2"/>
        <v>OK</v>
      </c>
      <c r="G190" s="6" t="s">
        <v>225</v>
      </c>
      <c r="H190" s="7" t="str">
        <f t="shared" si="3"/>
        <v>OK</v>
      </c>
      <c r="I190" s="7" t="str">
        <f t="array" ref="I190">XLOOKUP(G190,Label!$A$2:$A$309, Label!$B$2:$B$309)</f>
        <v>New Text</v>
      </c>
      <c r="J190" s="7" t="str">
        <f t="array" ref="J190">XLOOKUP(G190,Label!$A$2:$A$309, Label!$C$2:$C$309)</f>
        <v/>
      </c>
    </row>
    <row r="191">
      <c r="A191" s="5" t="s">
        <v>194</v>
      </c>
      <c r="B191" s="7" t="str">
        <f t="shared" si="1"/>
        <v>OK</v>
      </c>
      <c r="C191" s="6" t="s">
        <v>226</v>
      </c>
      <c r="E191" s="7" t="str">
        <f t="shared" si="2"/>
        <v>OK</v>
      </c>
      <c r="G191" s="6" t="s">
        <v>226</v>
      </c>
      <c r="H191" s="7" t="str">
        <f t="shared" si="3"/>
        <v>OK</v>
      </c>
      <c r="I191" s="7" t="str">
        <f t="array" ref="I191">XLOOKUP(G191,Label!$A$2:$A$309, Label!$B$2:$B$309)</f>
        <v>Box Size Changed</v>
      </c>
      <c r="J191" s="7" t="str">
        <f t="array" ref="J191">XLOOKUP(G191,Label!$A$2:$A$309, Label!$C$2:$C$309)</f>
        <v/>
      </c>
    </row>
    <row r="192">
      <c r="A192" s="5" t="s">
        <v>196</v>
      </c>
      <c r="B192" s="7" t="str">
        <f t="shared" si="1"/>
        <v>OK</v>
      </c>
      <c r="C192" s="6" t="s">
        <v>227</v>
      </c>
      <c r="E192" s="7" t="str">
        <f t="shared" si="2"/>
        <v>OK</v>
      </c>
      <c r="G192" s="6" t="s">
        <v>227</v>
      </c>
      <c r="H192" s="7" t="str">
        <f t="shared" si="3"/>
        <v>OK</v>
      </c>
      <c r="I192" s="7" t="str">
        <f t="array" ref="I192">XLOOKUP(G192,Label!$A$2:$A$309, Label!$B$2:$B$309)</f>
        <v>OutOfScope: New Story</v>
      </c>
      <c r="J192" s="7" t="str">
        <f t="array" ref="J192">XLOOKUP(G192,Label!$A$2:$A$309, Label!$C$2:$C$309)</f>
        <v/>
      </c>
    </row>
    <row r="193">
      <c r="A193" s="5" t="s">
        <v>198</v>
      </c>
      <c r="B193" s="7" t="str">
        <f t="shared" si="1"/>
        <v>OK</v>
      </c>
      <c r="C193" s="6" t="s">
        <v>228</v>
      </c>
      <c r="E193" s="7" t="str">
        <f t="shared" si="2"/>
        <v>OK</v>
      </c>
      <c r="G193" s="6" t="s">
        <v>228</v>
      </c>
      <c r="H193" s="7" t="str">
        <f t="shared" si="3"/>
        <v>OK</v>
      </c>
      <c r="I193" s="7" t="str">
        <f t="array" ref="I193">XLOOKUP(G193,Label!$A$2:$A$309, Label!$B$2:$B$309)</f>
        <v>Box Size Changed</v>
      </c>
      <c r="J193" s="7" t="str">
        <f t="array" ref="J193">XLOOKUP(G193,Label!$A$2:$A$309, Label!$C$2:$C$309)</f>
        <v/>
      </c>
    </row>
    <row r="194">
      <c r="A194" s="5" t="s">
        <v>199</v>
      </c>
      <c r="B194" s="7" t="str">
        <f t="shared" si="1"/>
        <v>OK</v>
      </c>
      <c r="C194" s="6" t="s">
        <v>229</v>
      </c>
      <c r="E194" s="7" t="str">
        <f t="shared" si="2"/>
        <v>OK</v>
      </c>
      <c r="G194" s="6" t="s">
        <v>229</v>
      </c>
      <c r="H194" s="7" t="str">
        <f t="shared" si="3"/>
        <v>OK</v>
      </c>
      <c r="I194" s="7" t="str">
        <f t="array" ref="I194">XLOOKUP(G194,Label!$A$2:$A$309, Label!$B$2:$B$309)</f>
        <v>OutOfScope: Cannot access</v>
      </c>
      <c r="J194" s="7" t="str">
        <f t="array" ref="J194">XLOOKUP(G194,Label!$A$2:$A$309, Label!$C$2:$C$309)</f>
        <v/>
      </c>
    </row>
    <row r="195">
      <c r="A195" s="5" t="s">
        <v>200</v>
      </c>
      <c r="B195" s="7" t="str">
        <f t="shared" si="1"/>
        <v>OK</v>
      </c>
      <c r="C195" s="6" t="s">
        <v>230</v>
      </c>
      <c r="E195" s="7" t="str">
        <f t="shared" si="2"/>
        <v>OK</v>
      </c>
      <c r="G195" s="6" t="s">
        <v>230</v>
      </c>
      <c r="H195" s="7" t="str">
        <f t="shared" si="3"/>
        <v>OK</v>
      </c>
      <c r="I195" s="7" t="str">
        <f t="array" ref="I195">XLOOKUP(G195,Label!$A$2:$A$309, Label!$B$2:$B$309)</f>
        <v>OutOfScope: Duplicates</v>
      </c>
      <c r="J195" s="7" t="str">
        <f t="array" ref="J195">XLOOKUP(G195,Label!$A$2:$A$309, Label!$C$2:$C$309)</f>
        <v/>
      </c>
    </row>
    <row r="196">
      <c r="A196" s="5" t="s">
        <v>201</v>
      </c>
      <c r="B196" s="7" t="str">
        <f t="shared" si="1"/>
        <v>OK</v>
      </c>
      <c r="C196" s="6" t="s">
        <v>231</v>
      </c>
      <c r="E196" s="7" t="str">
        <f t="shared" si="2"/>
        <v>OK</v>
      </c>
      <c r="G196" s="6" t="s">
        <v>231</v>
      </c>
      <c r="H196" s="7" t="str">
        <f t="shared" si="3"/>
        <v>OK</v>
      </c>
      <c r="I196" s="7" t="str">
        <f t="array" ref="I196">XLOOKUP(G196,Label!$A$2:$A$309, Label!$B$2:$B$309)</f>
        <v>Layout Shifted</v>
      </c>
      <c r="J196" s="7" t="str">
        <f t="array" ref="J196">XLOOKUP(G196,Label!$A$2:$A$309, Label!$C$2:$C$309)</f>
        <v/>
      </c>
    </row>
    <row r="197">
      <c r="A197" s="5" t="s">
        <v>202</v>
      </c>
      <c r="B197" s="7" t="str">
        <f t="shared" si="1"/>
        <v>OK</v>
      </c>
      <c r="C197" s="6" t="s">
        <v>232</v>
      </c>
      <c r="E197" s="7" t="str">
        <f t="shared" si="2"/>
        <v>OK</v>
      </c>
      <c r="G197" s="6" t="s">
        <v>232</v>
      </c>
      <c r="H197" s="7" t="str">
        <f t="shared" si="3"/>
        <v>OK</v>
      </c>
      <c r="I197" s="7" t="str">
        <f t="array" ref="I197">XLOOKUP(G197,Label!$A$2:$A$309, Label!$B$2:$B$309)</f>
        <v>OutOfScope: New Story</v>
      </c>
      <c r="J197" s="7" t="str">
        <f t="array" ref="J197">XLOOKUP(G197,Label!$A$2:$A$309, Label!$C$2:$C$309)</f>
        <v/>
      </c>
    </row>
    <row r="198">
      <c r="A198" s="5" t="s">
        <v>203</v>
      </c>
      <c r="B198" s="7" t="str">
        <f t="shared" si="1"/>
        <v>OK</v>
      </c>
      <c r="C198" s="6" t="s">
        <v>233</v>
      </c>
      <c r="E198" s="7" t="str">
        <f t="shared" si="2"/>
        <v>OK</v>
      </c>
      <c r="G198" s="6" t="s">
        <v>233</v>
      </c>
      <c r="H198" s="7" t="str">
        <f t="shared" si="3"/>
        <v>OK</v>
      </c>
      <c r="I198" s="7" t="str">
        <f t="array" ref="I198">XLOOKUP(G198,Label!$A$2:$A$309, Label!$B$2:$B$309)</f>
        <v>Layout Shifted</v>
      </c>
      <c r="J198" s="7" t="str">
        <f t="array" ref="J198">XLOOKUP(G198,Label!$A$2:$A$309, Label!$C$2:$C$309)</f>
        <v>Box Disappeared</v>
      </c>
    </row>
    <row r="199">
      <c r="A199" s="5" t="s">
        <v>204</v>
      </c>
      <c r="B199" s="7" t="str">
        <f t="shared" si="1"/>
        <v>OK</v>
      </c>
      <c r="C199" s="6" t="s">
        <v>234</v>
      </c>
      <c r="E199" s="7" t="str">
        <f t="shared" si="2"/>
        <v>OK</v>
      </c>
      <c r="G199" s="6" t="s">
        <v>234</v>
      </c>
      <c r="H199" s="7" t="str">
        <f t="shared" si="3"/>
        <v>OK</v>
      </c>
      <c r="I199" s="7" t="str">
        <f t="array" ref="I199">XLOOKUP(G199,Label!$A$2:$A$309, Label!$B$2:$B$309)</f>
        <v>Layout Changed</v>
      </c>
      <c r="J199" s="7" t="str">
        <f t="array" ref="J199">XLOOKUP(G199,Label!$A$2:$A$309, Label!$C$2:$C$309)</f>
        <v/>
      </c>
    </row>
    <row r="200">
      <c r="A200" s="5" t="s">
        <v>205</v>
      </c>
      <c r="B200" s="7" t="str">
        <f t="shared" si="1"/>
        <v>OK</v>
      </c>
      <c r="C200" s="6" t="s">
        <v>235</v>
      </c>
      <c r="E200" s="7" t="str">
        <f t="shared" si="2"/>
        <v>OK</v>
      </c>
      <c r="G200" s="6" t="s">
        <v>235</v>
      </c>
      <c r="H200" s="7" t="str">
        <f t="shared" si="3"/>
        <v>OK</v>
      </c>
      <c r="I200" s="7" t="str">
        <f t="array" ref="I200">XLOOKUP(G200,Label!$A$2:$A$309, Label!$B$2:$B$309)</f>
        <v>OutOfScope: Duplicates</v>
      </c>
      <c r="J200" s="7" t="str">
        <f t="array" ref="J200">XLOOKUP(G200,Label!$A$2:$A$309, Label!$C$2:$C$309)</f>
        <v/>
      </c>
    </row>
    <row r="201">
      <c r="A201" s="5" t="s">
        <v>206</v>
      </c>
      <c r="B201" s="7" t="str">
        <f t="shared" si="1"/>
        <v>OK</v>
      </c>
      <c r="C201" s="6" t="s">
        <v>236</v>
      </c>
      <c r="E201" s="7" t="str">
        <f t="shared" si="2"/>
        <v>OK</v>
      </c>
      <c r="G201" s="6" t="s">
        <v>236</v>
      </c>
      <c r="H201" s="7" t="str">
        <f t="shared" si="3"/>
        <v>OK</v>
      </c>
      <c r="I201" s="7" t="str">
        <f t="array" ref="I201">XLOOKUP(G201,Label!$A$2:$A$309, Label!$B$2:$B$309)</f>
        <v>Undefined/Wrong State is Shown</v>
      </c>
      <c r="J201" s="7" t="str">
        <f t="array" ref="J201">XLOOKUP(G201,Label!$A$2:$A$309, Label!$C$2:$C$309)</f>
        <v/>
      </c>
    </row>
    <row r="202">
      <c r="A202" s="5" t="s">
        <v>207</v>
      </c>
      <c r="B202" s="7" t="str">
        <f t="shared" si="1"/>
        <v>OK</v>
      </c>
      <c r="C202" s="6" t="s">
        <v>237</v>
      </c>
      <c r="E202" s="7" t="str">
        <f t="shared" si="2"/>
        <v>OK</v>
      </c>
      <c r="G202" s="6" t="s">
        <v>237</v>
      </c>
      <c r="H202" s="7" t="str">
        <f t="shared" si="3"/>
        <v>OK</v>
      </c>
      <c r="I202" s="7" t="str">
        <f t="array" ref="I202">XLOOKUP(G202,Label!$A$2:$A$309, Label!$B$2:$B$309)</f>
        <v>OutOfScope: Duplicates</v>
      </c>
      <c r="J202" s="7" t="str">
        <f t="array" ref="J202">XLOOKUP(G202,Label!$A$2:$A$309, Label!$C$2:$C$309)</f>
        <v/>
      </c>
    </row>
    <row r="203">
      <c r="A203" s="5" t="s">
        <v>208</v>
      </c>
      <c r="B203" s="7" t="str">
        <f t="shared" si="1"/>
        <v>OK</v>
      </c>
      <c r="C203" s="6" t="s">
        <v>238</v>
      </c>
      <c r="E203" s="7" t="str">
        <f t="shared" si="2"/>
        <v>OK</v>
      </c>
      <c r="G203" s="6" t="s">
        <v>238</v>
      </c>
      <c r="H203" s="7" t="str">
        <f t="shared" si="3"/>
        <v>OK</v>
      </c>
      <c r="I203" s="7" t="str">
        <f t="array" ref="I203">XLOOKUP(G203,Label!$A$2:$A$309, Label!$B$2:$B$309)</f>
        <v>Fragile Snapshot</v>
      </c>
      <c r="J203" s="7" t="str">
        <f t="array" ref="J203">XLOOKUP(G203,Label!$A$2:$A$309, Label!$C$2:$C$309)</f>
        <v/>
      </c>
    </row>
    <row r="204">
      <c r="A204" s="5" t="s">
        <v>209</v>
      </c>
      <c r="B204" s="7" t="str">
        <f t="shared" si="1"/>
        <v>OK</v>
      </c>
      <c r="C204" s="6" t="s">
        <v>240</v>
      </c>
      <c r="E204" s="7" t="str">
        <f t="shared" si="2"/>
        <v>OK</v>
      </c>
      <c r="G204" s="6" t="s">
        <v>240</v>
      </c>
      <c r="H204" s="7" t="str">
        <f t="shared" si="3"/>
        <v>OK</v>
      </c>
      <c r="I204" s="7" t="str">
        <f t="array" ref="I204">XLOOKUP(G204,Label!$A$2:$A$309, Label!$B$2:$B$309)</f>
        <v>Undefined/Wrong State is Shown</v>
      </c>
      <c r="J204" s="7" t="str">
        <f t="array" ref="J204">XLOOKUP(G204,Label!$A$2:$A$309, Label!$C$2:$C$309)</f>
        <v/>
      </c>
    </row>
    <row r="205">
      <c r="A205" s="5" t="s">
        <v>210</v>
      </c>
      <c r="B205" s="7" t="str">
        <f t="shared" si="1"/>
        <v>OK</v>
      </c>
      <c r="C205" s="6" t="s">
        <v>241</v>
      </c>
      <c r="E205" s="7" t="str">
        <f t="shared" si="2"/>
        <v>OK</v>
      </c>
      <c r="G205" s="6" t="s">
        <v>241</v>
      </c>
      <c r="H205" s="7" t="str">
        <f t="shared" si="3"/>
        <v>OK</v>
      </c>
      <c r="I205" s="7" t="str">
        <f t="array" ref="I205">XLOOKUP(G205,Label!$A$2:$A$309, Label!$B$2:$B$309)</f>
        <v>OutOfScope: Duplicates</v>
      </c>
      <c r="J205" s="7" t="str">
        <f t="array" ref="J205">XLOOKUP(G205,Label!$A$2:$A$309, Label!$C$2:$C$309)</f>
        <v/>
      </c>
    </row>
    <row r="206">
      <c r="A206" s="5" t="s">
        <v>211</v>
      </c>
      <c r="B206" s="7" t="str">
        <f t="shared" si="1"/>
        <v>OK</v>
      </c>
      <c r="C206" s="6" t="s">
        <v>242</v>
      </c>
      <c r="E206" s="7" t="str">
        <f t="shared" si="2"/>
        <v>OK</v>
      </c>
      <c r="G206" s="6" t="s">
        <v>242</v>
      </c>
      <c r="H206" s="7" t="str">
        <f t="shared" si="3"/>
        <v>OK</v>
      </c>
      <c r="I206" s="7" t="str">
        <f t="array" ref="I206">XLOOKUP(G206,Label!$A$2:$A$309, Label!$B$2:$B$309)</f>
        <v>OutOfScope: New Story</v>
      </c>
      <c r="J206" s="7" t="str">
        <f t="array" ref="J206">XLOOKUP(G206,Label!$A$2:$A$309, Label!$C$2:$C$309)</f>
        <v/>
      </c>
    </row>
    <row r="207">
      <c r="A207" s="5" t="s">
        <v>212</v>
      </c>
      <c r="B207" s="7" t="str">
        <f t="shared" si="1"/>
        <v>OK</v>
      </c>
      <c r="C207" s="6" t="s">
        <v>243</v>
      </c>
      <c r="E207" s="7" t="str">
        <f t="shared" si="2"/>
        <v>OK</v>
      </c>
      <c r="G207" s="6" t="s">
        <v>243</v>
      </c>
      <c r="H207" s="7" t="str">
        <f t="shared" si="3"/>
        <v>OK</v>
      </c>
      <c r="I207" s="7" t="str">
        <f t="array" ref="I207">XLOOKUP(G207,Label!$A$2:$A$309, Label!$B$2:$B$309)</f>
        <v>OutOfScope: Duplicates</v>
      </c>
      <c r="J207" s="7" t="str">
        <f t="array" ref="J207">XLOOKUP(G207,Label!$A$2:$A$309, Label!$C$2:$C$309)</f>
        <v/>
      </c>
    </row>
    <row r="208">
      <c r="A208" s="5" t="s">
        <v>213</v>
      </c>
      <c r="B208" s="7" t="str">
        <f t="shared" si="1"/>
        <v>OK</v>
      </c>
      <c r="C208" s="6" t="s">
        <v>244</v>
      </c>
      <c r="E208" s="7" t="str">
        <f t="shared" si="2"/>
        <v>OK</v>
      </c>
      <c r="G208" s="6" t="s">
        <v>244</v>
      </c>
      <c r="H208" s="7" t="str">
        <f t="shared" si="3"/>
        <v>OK</v>
      </c>
      <c r="I208" s="7" t="str">
        <f t="array" ref="I208">XLOOKUP(G208,Label!$A$2:$A$309, Label!$B$2:$B$309)</f>
        <v>Box Size Changed</v>
      </c>
      <c r="J208" s="7" t="str">
        <f t="array" ref="J208">XLOOKUP(G208,Label!$A$2:$A$309, Label!$C$2:$C$309)</f>
        <v/>
      </c>
    </row>
    <row r="209">
      <c r="A209" s="5" t="s">
        <v>214</v>
      </c>
      <c r="B209" s="7" t="str">
        <f t="shared" si="1"/>
        <v>OK</v>
      </c>
      <c r="C209" s="6" t="s">
        <v>245</v>
      </c>
      <c r="E209" s="7" t="str">
        <f t="shared" si="2"/>
        <v>OK</v>
      </c>
      <c r="G209" s="6" t="s">
        <v>245</v>
      </c>
      <c r="H209" s="7" t="str">
        <f t="shared" si="3"/>
        <v>OK</v>
      </c>
      <c r="I209" s="7" t="str">
        <f t="array" ref="I209">XLOOKUP(G209,Label!$A$2:$A$309, Label!$B$2:$B$309)</f>
        <v>OutOfScope: Cannot access</v>
      </c>
      <c r="J209" s="7" t="str">
        <f t="array" ref="J209">XLOOKUP(G209,Label!$A$2:$A$309, Label!$C$2:$C$309)</f>
        <v/>
      </c>
    </row>
    <row r="210">
      <c r="A210" s="5" t="s">
        <v>215</v>
      </c>
      <c r="B210" s="7" t="str">
        <f t="shared" si="1"/>
        <v>OK</v>
      </c>
      <c r="C210" s="6" t="s">
        <v>246</v>
      </c>
      <c r="E210" s="7" t="str">
        <f t="shared" si="2"/>
        <v>OK</v>
      </c>
      <c r="G210" s="6" t="s">
        <v>246</v>
      </c>
      <c r="H210" s="7" t="str">
        <f t="shared" si="3"/>
        <v>OK</v>
      </c>
      <c r="I210" s="7" t="str">
        <f t="array" ref="I210">XLOOKUP(G210,Label!$A$2:$A$309, Label!$B$2:$B$309)</f>
        <v>OutOfScope: New Story</v>
      </c>
      <c r="J210" s="7" t="str">
        <f t="array" ref="J210">XLOOKUP(G210,Label!$A$2:$A$309, Label!$C$2:$C$309)</f>
        <v/>
      </c>
    </row>
    <row r="211">
      <c r="A211" s="5" t="s">
        <v>216</v>
      </c>
      <c r="B211" s="7" t="str">
        <f t="shared" si="1"/>
        <v>OK</v>
      </c>
      <c r="C211" s="6" t="s">
        <v>247</v>
      </c>
      <c r="E211" s="7" t="str">
        <f t="shared" si="2"/>
        <v>OK</v>
      </c>
      <c r="G211" s="6" t="s">
        <v>247</v>
      </c>
      <c r="H211" s="7" t="str">
        <f t="shared" si="3"/>
        <v>OK</v>
      </c>
      <c r="I211" s="7" t="str">
        <f t="array" ref="I211">XLOOKUP(G211,Label!$A$2:$A$309, Label!$B$2:$B$309)</f>
        <v>Fragile Snapshot</v>
      </c>
      <c r="J211" s="7" t="str">
        <f t="array" ref="J211">XLOOKUP(G211,Label!$A$2:$A$309, Label!$C$2:$C$309)</f>
        <v/>
      </c>
    </row>
    <row r="212">
      <c r="A212" s="5" t="s">
        <v>217</v>
      </c>
      <c r="B212" s="7" t="str">
        <f t="shared" si="1"/>
        <v>OK</v>
      </c>
      <c r="C212" s="6" t="s">
        <v>248</v>
      </c>
      <c r="E212" s="7" t="str">
        <f t="shared" si="2"/>
        <v>OK</v>
      </c>
      <c r="G212" s="6" t="s">
        <v>248</v>
      </c>
      <c r="H212" s="7" t="str">
        <f t="shared" si="3"/>
        <v>OK</v>
      </c>
      <c r="I212" s="7" t="str">
        <f t="array" ref="I212">XLOOKUP(G212,Label!$A$2:$A$309, Label!$B$2:$B$309)</f>
        <v>OutOfScope: New Story</v>
      </c>
      <c r="J212" s="7" t="str">
        <f t="array" ref="J212">XLOOKUP(G212,Label!$A$2:$A$309, Label!$C$2:$C$309)</f>
        <v/>
      </c>
    </row>
    <row r="213">
      <c r="A213" s="5" t="s">
        <v>218</v>
      </c>
      <c r="B213" s="7" t="str">
        <f t="shared" si="1"/>
        <v>OK</v>
      </c>
      <c r="C213" s="6" t="s">
        <v>249</v>
      </c>
      <c r="E213" s="7" t="str">
        <f t="shared" si="2"/>
        <v>OK</v>
      </c>
      <c r="G213" s="6" t="s">
        <v>249</v>
      </c>
      <c r="H213" s="7" t="str">
        <f t="shared" si="3"/>
        <v>OK</v>
      </c>
      <c r="I213" s="7" t="str">
        <f t="array" ref="I213">XLOOKUP(G213,Label!$A$2:$A$309, Label!$B$2:$B$309)</f>
        <v>Text Disappeared</v>
      </c>
      <c r="J213" s="7" t="str">
        <f t="array" ref="J213">XLOOKUP(G213,Label!$A$2:$A$309, Label!$C$2:$C$309)</f>
        <v/>
      </c>
    </row>
    <row r="214">
      <c r="A214" s="5" t="s">
        <v>219</v>
      </c>
      <c r="B214" s="7" t="str">
        <f t="shared" si="1"/>
        <v>OK</v>
      </c>
      <c r="C214" s="6" t="s">
        <v>250</v>
      </c>
      <c r="E214" s="7" t="str">
        <f t="shared" si="2"/>
        <v>OK</v>
      </c>
      <c r="G214" s="6" t="s">
        <v>250</v>
      </c>
      <c r="H214" s="7" t="str">
        <f t="shared" si="3"/>
        <v>OK</v>
      </c>
      <c r="I214" s="7" t="str">
        <f t="array" ref="I214">XLOOKUP(G214,Label!$A$2:$A$309, Label!$B$2:$B$309)</f>
        <v>Text Color Changed</v>
      </c>
      <c r="J214" s="7" t="str">
        <f t="array" ref="J214">XLOOKUP(G214,Label!$A$2:$A$309, Label!$C$2:$C$309)</f>
        <v/>
      </c>
    </row>
    <row r="215">
      <c r="A215" s="5" t="s">
        <v>220</v>
      </c>
      <c r="B215" s="7" t="str">
        <f t="shared" si="1"/>
        <v>OK</v>
      </c>
      <c r="C215" s="6" t="s">
        <v>251</v>
      </c>
      <c r="E215" s="7" t="str">
        <f t="shared" si="2"/>
        <v>OK</v>
      </c>
      <c r="G215" s="6" t="s">
        <v>251</v>
      </c>
      <c r="H215" s="7" t="str">
        <f t="shared" si="3"/>
        <v>OK</v>
      </c>
      <c r="I215" s="7" t="str">
        <f t="array" ref="I215">XLOOKUP(G215,Label!$A$2:$A$309, Label!$B$2:$B$309)</f>
        <v>OutOfScope: Duplicates</v>
      </c>
      <c r="J215" s="7" t="str">
        <f t="array" ref="J215">XLOOKUP(G215,Label!$A$2:$A$309, Label!$C$2:$C$309)</f>
        <v/>
      </c>
    </row>
    <row r="216">
      <c r="A216" s="5" t="s">
        <v>221</v>
      </c>
      <c r="B216" s="7" t="str">
        <f t="shared" si="1"/>
        <v>OK</v>
      </c>
      <c r="C216" s="6" t="s">
        <v>252</v>
      </c>
      <c r="E216" s="7" t="str">
        <f t="shared" si="2"/>
        <v>OK</v>
      </c>
      <c r="G216" s="6" t="s">
        <v>252</v>
      </c>
      <c r="H216" s="7" t="str">
        <f t="shared" si="3"/>
        <v>OK</v>
      </c>
      <c r="I216" s="7" t="str">
        <f t="array" ref="I216">XLOOKUP(G216,Label!$A$2:$A$309, Label!$B$2:$B$309)</f>
        <v>OutOfScope: Cannot access</v>
      </c>
      <c r="J216" s="7" t="str">
        <f t="array" ref="J216">XLOOKUP(G216,Label!$A$2:$A$309, Label!$C$2:$C$309)</f>
        <v/>
      </c>
    </row>
    <row r="217">
      <c r="A217" s="5" t="s">
        <v>222</v>
      </c>
      <c r="B217" s="7" t="str">
        <f t="shared" si="1"/>
        <v>OK</v>
      </c>
      <c r="C217" s="6" t="s">
        <v>253</v>
      </c>
      <c r="E217" s="7" t="str">
        <f t="shared" si="2"/>
        <v>OK</v>
      </c>
      <c r="G217" s="6" t="s">
        <v>253</v>
      </c>
      <c r="H217" s="7" t="str">
        <f t="shared" si="3"/>
        <v>OK</v>
      </c>
      <c r="I217" s="7" t="str">
        <f t="array" ref="I217">XLOOKUP(G217,Label!$A$2:$A$309, Label!$B$2:$B$309)</f>
        <v>Box Size Changed</v>
      </c>
      <c r="J217" s="7" t="str">
        <f t="array" ref="J217">XLOOKUP(G217,Label!$A$2:$A$309, Label!$C$2:$C$309)</f>
        <v/>
      </c>
    </row>
    <row r="218">
      <c r="A218" s="5" t="s">
        <v>223</v>
      </c>
      <c r="B218" s="7" t="str">
        <f t="shared" si="1"/>
        <v>OK</v>
      </c>
      <c r="C218" s="6" t="s">
        <v>254</v>
      </c>
      <c r="E218" s="7" t="str">
        <f t="shared" si="2"/>
        <v>OK</v>
      </c>
      <c r="G218" s="6" t="s">
        <v>254</v>
      </c>
      <c r="H218" s="7" t="str">
        <f t="shared" si="3"/>
        <v>OK</v>
      </c>
      <c r="I218" s="7" t="str">
        <f t="array" ref="I218">XLOOKUP(G218,Label!$A$2:$A$309, Label!$B$2:$B$309)</f>
        <v>OutOfScope: Chromatic Error</v>
      </c>
      <c r="J218" s="7" t="str">
        <f t="array" ref="J218">XLOOKUP(G218,Label!$A$2:$A$309, Label!$C$2:$C$309)</f>
        <v/>
      </c>
    </row>
    <row r="219">
      <c r="A219" s="5" t="s">
        <v>224</v>
      </c>
      <c r="B219" s="7" t="str">
        <f t="shared" si="1"/>
        <v>OK</v>
      </c>
      <c r="C219" s="6" t="s">
        <v>255</v>
      </c>
      <c r="E219" s="7" t="str">
        <f t="shared" si="2"/>
        <v>OK</v>
      </c>
      <c r="G219" s="6" t="s">
        <v>255</v>
      </c>
      <c r="H219" s="7" t="str">
        <f t="shared" si="3"/>
        <v>OK</v>
      </c>
      <c r="I219" s="7" t="str">
        <f t="array" ref="I219">XLOOKUP(G219,Label!$A$2:$A$309, Label!$B$2:$B$309)</f>
        <v>Specific Items are Mis-aligned</v>
      </c>
      <c r="J219" s="7" t="str">
        <f t="array" ref="J219">XLOOKUP(G219,Label!$A$2:$A$309, Label!$C$2:$C$309)</f>
        <v/>
      </c>
    </row>
    <row r="220">
      <c r="A220" s="5" t="s">
        <v>225</v>
      </c>
      <c r="B220" s="7" t="str">
        <f t="shared" si="1"/>
        <v>OK</v>
      </c>
      <c r="C220" s="6" t="s">
        <v>256</v>
      </c>
      <c r="E220" s="7" t="str">
        <f t="shared" si="2"/>
        <v>OK</v>
      </c>
      <c r="G220" s="6" t="s">
        <v>256</v>
      </c>
      <c r="H220" s="7" t="str">
        <f t="shared" si="3"/>
        <v>OK</v>
      </c>
      <c r="I220" s="7" t="str">
        <f t="array" ref="I220">XLOOKUP(G220,Label!$A$2:$A$309, Label!$B$2:$B$309)</f>
        <v>Contents of Text Changed</v>
      </c>
      <c r="J220" s="7" t="str">
        <f t="array" ref="J220">XLOOKUP(G220,Label!$A$2:$A$309, Label!$C$2:$C$309)</f>
        <v/>
      </c>
    </row>
    <row r="221">
      <c r="A221" s="5" t="s">
        <v>226</v>
      </c>
      <c r="B221" s="7" t="str">
        <f t="shared" si="1"/>
        <v>OK</v>
      </c>
      <c r="C221" s="6" t="s">
        <v>257</v>
      </c>
      <c r="E221" s="7" t="str">
        <f t="shared" si="2"/>
        <v>OK</v>
      </c>
      <c r="G221" s="6" t="s">
        <v>257</v>
      </c>
      <c r="H221" s="7" t="str">
        <f t="shared" si="3"/>
        <v>OK</v>
      </c>
      <c r="I221" s="7" t="str">
        <f t="array" ref="I221">XLOOKUP(G221,Label!$A$2:$A$309, Label!$B$2:$B$309)</f>
        <v>New Contents</v>
      </c>
      <c r="J221" s="7" t="str">
        <f t="array" ref="J221">XLOOKUP(G221,Label!$A$2:$A$309, Label!$C$2:$C$309)</f>
        <v/>
      </c>
    </row>
    <row r="222">
      <c r="A222" s="5" t="s">
        <v>227</v>
      </c>
      <c r="B222" s="7" t="str">
        <f t="shared" si="1"/>
        <v>OK</v>
      </c>
      <c r="C222" s="6" t="s">
        <v>258</v>
      </c>
      <c r="E222" s="7" t="str">
        <f t="shared" si="2"/>
        <v>OK</v>
      </c>
      <c r="G222" s="6" t="s">
        <v>258</v>
      </c>
      <c r="H222" s="7" t="str">
        <f t="shared" si="3"/>
        <v>OK</v>
      </c>
      <c r="I222" s="7" t="str">
        <f t="array" ref="I222">XLOOKUP(G222,Label!$A$2:$A$309, Label!$B$2:$B$309)</f>
        <v>Size of Page/Header Changed</v>
      </c>
      <c r="J222" s="7" t="str">
        <f t="array" ref="J222">XLOOKUP(G222,Label!$A$2:$A$309, Label!$C$2:$C$309)</f>
        <v/>
      </c>
    </row>
    <row r="223">
      <c r="A223" s="5" t="s">
        <v>228</v>
      </c>
      <c r="B223" s="7" t="str">
        <f t="shared" si="1"/>
        <v>OK</v>
      </c>
      <c r="C223" s="6" t="s">
        <v>259</v>
      </c>
      <c r="E223" s="7" t="str">
        <f t="shared" si="2"/>
        <v>OK</v>
      </c>
      <c r="G223" s="6" t="s">
        <v>259</v>
      </c>
      <c r="H223" s="7" t="str">
        <f t="shared" si="3"/>
        <v>OK</v>
      </c>
      <c r="I223" s="7" t="str">
        <f t="array" ref="I223">XLOOKUP(G223,Label!$A$2:$A$309, Label!$B$2:$B$309)</f>
        <v>OutOfScope: Duplicates</v>
      </c>
      <c r="J223" s="7" t="str">
        <f t="array" ref="J223">XLOOKUP(G223,Label!$A$2:$A$309, Label!$C$2:$C$309)</f>
        <v/>
      </c>
    </row>
    <row r="224">
      <c r="A224" s="5" t="s">
        <v>229</v>
      </c>
      <c r="B224" s="7" t="str">
        <f t="shared" si="1"/>
        <v>OK</v>
      </c>
      <c r="C224" s="6" t="s">
        <v>260</v>
      </c>
      <c r="E224" s="7" t="str">
        <f t="shared" si="2"/>
        <v>OK</v>
      </c>
      <c r="G224" s="6" t="s">
        <v>260</v>
      </c>
      <c r="H224" s="7" t="str">
        <f t="shared" si="3"/>
        <v>OK</v>
      </c>
      <c r="I224" s="7" t="str">
        <f t="array" ref="I224">XLOOKUP(G224,Label!$A$2:$A$309, Label!$B$2:$B$309)</f>
        <v>OutOfScope: New Story</v>
      </c>
      <c r="J224" s="7" t="str">
        <f t="array" ref="J224">XLOOKUP(G224,Label!$A$2:$A$309, Label!$C$2:$C$309)</f>
        <v/>
      </c>
    </row>
    <row r="225">
      <c r="A225" s="5" t="s">
        <v>230</v>
      </c>
      <c r="B225" s="7" t="str">
        <f t="shared" si="1"/>
        <v>OK</v>
      </c>
      <c r="C225" s="6" t="s">
        <v>261</v>
      </c>
      <c r="E225" s="7" t="str">
        <f t="shared" si="2"/>
        <v>OK</v>
      </c>
      <c r="G225" s="6" t="s">
        <v>261</v>
      </c>
      <c r="H225" s="7" t="str">
        <f t="shared" si="3"/>
        <v>OK</v>
      </c>
      <c r="I225" s="7" t="str">
        <f t="array" ref="I225">XLOOKUP(G225,Label!$A$2:$A$309, Label!$B$2:$B$309)</f>
        <v>OutOfScope: New Story</v>
      </c>
      <c r="J225" s="7" t="str">
        <f t="array" ref="J225">XLOOKUP(G225,Label!$A$2:$A$309, Label!$C$2:$C$309)</f>
        <v/>
      </c>
    </row>
    <row r="226">
      <c r="A226" s="5" t="s">
        <v>231</v>
      </c>
      <c r="B226" s="7" t="str">
        <f t="shared" si="1"/>
        <v>OK</v>
      </c>
      <c r="C226" s="6" t="s">
        <v>262</v>
      </c>
      <c r="E226" s="7" t="str">
        <f t="shared" si="2"/>
        <v>OK</v>
      </c>
      <c r="G226" s="6" t="s">
        <v>262</v>
      </c>
      <c r="H226" s="7" t="str">
        <f t="shared" si="3"/>
        <v>OK</v>
      </c>
      <c r="I226" s="7" t="str">
        <f t="array" ref="I226">XLOOKUP(G226,Label!$A$2:$A$309, Label!$B$2:$B$309)</f>
        <v>Specific Items are Mis-aligned</v>
      </c>
      <c r="J226" s="7" t="str">
        <f t="array" ref="J226">XLOOKUP(G226,Label!$A$2:$A$309, Label!$C$2:$C$309)</f>
        <v/>
      </c>
    </row>
    <row r="227">
      <c r="A227" s="5" t="s">
        <v>232</v>
      </c>
      <c r="B227" s="7" t="str">
        <f t="shared" si="1"/>
        <v>OK</v>
      </c>
      <c r="C227" s="6" t="s">
        <v>263</v>
      </c>
      <c r="E227" s="7" t="str">
        <f t="shared" si="2"/>
        <v>OK</v>
      </c>
      <c r="G227" s="6" t="s">
        <v>263</v>
      </c>
      <c r="H227" s="7" t="str">
        <f t="shared" si="3"/>
        <v>OK</v>
      </c>
      <c r="I227" s="7" t="str">
        <f t="array" ref="I227">XLOOKUP(G227,Label!$A$2:$A$309, Label!$B$2:$B$309)</f>
        <v>Layout Shifted</v>
      </c>
      <c r="J227" s="7" t="str">
        <f t="array" ref="J227">XLOOKUP(G227,Label!$A$2:$A$309, Label!$C$2:$C$309)</f>
        <v/>
      </c>
    </row>
    <row r="228">
      <c r="A228" s="5" t="s">
        <v>233</v>
      </c>
      <c r="B228" s="7" t="str">
        <f t="shared" si="1"/>
        <v>OK</v>
      </c>
      <c r="C228" s="6" t="s">
        <v>264</v>
      </c>
      <c r="E228" s="7" t="str">
        <f t="shared" si="2"/>
        <v>OK</v>
      </c>
      <c r="G228" s="6" t="s">
        <v>264</v>
      </c>
      <c r="H228" s="7" t="str">
        <f t="shared" si="3"/>
        <v>OK</v>
      </c>
      <c r="I228" s="7" t="str">
        <f t="array" ref="I228">XLOOKUP(G228,Label!$A$2:$A$309, Label!$B$2:$B$309)</f>
        <v>Layout Shifted</v>
      </c>
      <c r="J228" s="7" t="str">
        <f t="array" ref="J228">XLOOKUP(G228,Label!$A$2:$A$309, Label!$C$2:$C$309)</f>
        <v/>
      </c>
    </row>
    <row r="229">
      <c r="A229" s="5" t="s">
        <v>234</v>
      </c>
      <c r="B229" s="7" t="str">
        <f t="shared" si="1"/>
        <v>OK</v>
      </c>
      <c r="C229" s="6" t="s">
        <v>265</v>
      </c>
      <c r="E229" s="7" t="str">
        <f t="shared" si="2"/>
        <v>OK</v>
      </c>
      <c r="G229" s="6" t="s">
        <v>265</v>
      </c>
      <c r="H229" s="7" t="str">
        <f t="shared" si="3"/>
        <v>OK</v>
      </c>
      <c r="I229" s="7" t="str">
        <f t="array" ref="I229">XLOOKUP(G229,Label!$A$2:$A$309, Label!$B$2:$B$309)</f>
        <v>OutOfScope: Duplicates</v>
      </c>
      <c r="J229" s="7" t="str">
        <f t="array" ref="J229">XLOOKUP(G229,Label!$A$2:$A$309, Label!$C$2:$C$309)</f>
        <v/>
      </c>
    </row>
    <row r="230">
      <c r="A230" s="5" t="s">
        <v>235</v>
      </c>
      <c r="B230" s="7" t="str">
        <f t="shared" si="1"/>
        <v>OK</v>
      </c>
      <c r="C230" s="6" t="s">
        <v>266</v>
      </c>
      <c r="E230" s="7" t="str">
        <f t="shared" si="2"/>
        <v>OK</v>
      </c>
      <c r="G230" s="6" t="s">
        <v>266</v>
      </c>
      <c r="H230" s="7" t="str">
        <f t="shared" si="3"/>
        <v>OK</v>
      </c>
      <c r="I230" s="7" t="str">
        <f t="array" ref="I230">XLOOKUP(G230,Label!$A$2:$A$309, Label!$B$2:$B$309)</f>
        <v>Text Color Changed</v>
      </c>
      <c r="J230" s="7" t="str">
        <f t="array" ref="J230">XLOOKUP(G230,Label!$A$2:$A$309, Label!$C$2:$C$309)</f>
        <v/>
      </c>
    </row>
    <row r="231">
      <c r="A231" s="5" t="s">
        <v>236</v>
      </c>
      <c r="B231" s="7" t="str">
        <f t="shared" si="1"/>
        <v>OK</v>
      </c>
      <c r="C231" s="6" t="s">
        <v>267</v>
      </c>
      <c r="E231" s="7" t="str">
        <f t="shared" si="2"/>
        <v>OK</v>
      </c>
      <c r="G231" s="6" t="s">
        <v>267</v>
      </c>
      <c r="H231" s="7" t="str">
        <f t="shared" si="3"/>
        <v>OK</v>
      </c>
      <c r="I231" s="7" t="str">
        <f t="array" ref="I231">XLOOKUP(G231,Label!$A$2:$A$309, Label!$B$2:$B$309)</f>
        <v>Box Size Changed</v>
      </c>
      <c r="J231" s="7" t="str">
        <f t="array" ref="J231">XLOOKUP(G231,Label!$A$2:$A$309, Label!$C$2:$C$309)</f>
        <v>New Text</v>
      </c>
    </row>
    <row r="232">
      <c r="A232" s="5" t="s">
        <v>237</v>
      </c>
      <c r="B232" s="7" t="str">
        <f t="shared" si="1"/>
        <v>OK</v>
      </c>
      <c r="C232" s="6" t="s">
        <v>268</v>
      </c>
      <c r="E232" s="7" t="str">
        <f t="shared" si="2"/>
        <v>OK</v>
      </c>
      <c r="G232" s="6" t="s">
        <v>268</v>
      </c>
      <c r="H232" s="7" t="str">
        <f t="shared" si="3"/>
        <v>OK</v>
      </c>
      <c r="I232" s="7" t="str">
        <f t="array" ref="I232">XLOOKUP(G232,Label!$A$2:$A$309, Label!$B$2:$B$309)</f>
        <v>Text Color Changed</v>
      </c>
      <c r="J232" s="7" t="str">
        <f t="array" ref="J232">XLOOKUP(G232,Label!$A$2:$A$309, Label!$C$2:$C$309)</f>
        <v/>
      </c>
    </row>
    <row r="233">
      <c r="A233" s="5" t="s">
        <v>238</v>
      </c>
      <c r="B233" s="7" t="str">
        <f t="shared" si="1"/>
        <v>OK</v>
      </c>
      <c r="C233" s="6" t="s">
        <v>269</v>
      </c>
      <c r="E233" s="7" t="str">
        <f t="shared" si="2"/>
        <v>OK</v>
      </c>
      <c r="G233" s="6" t="s">
        <v>269</v>
      </c>
      <c r="H233" s="7" t="str">
        <f t="shared" si="3"/>
        <v>OK</v>
      </c>
      <c r="I233" s="7" t="str">
        <f t="array" ref="I233">XLOOKUP(G233,Label!$A$2:$A$309, Label!$B$2:$B$309)</f>
        <v>Box Shape Changed</v>
      </c>
      <c r="J233" s="7" t="str">
        <f t="array" ref="J233">XLOOKUP(G233,Label!$A$2:$A$309, Label!$C$2:$C$309)</f>
        <v/>
      </c>
    </row>
    <row r="234">
      <c r="A234" s="5" t="s">
        <v>240</v>
      </c>
      <c r="B234" s="7" t="str">
        <f t="shared" si="1"/>
        <v>OK</v>
      </c>
      <c r="C234" s="6" t="s">
        <v>270</v>
      </c>
      <c r="E234" s="7" t="str">
        <f t="shared" si="2"/>
        <v>OK</v>
      </c>
      <c r="G234" s="6" t="s">
        <v>270</v>
      </c>
      <c r="H234" s="7" t="str">
        <f t="shared" si="3"/>
        <v>OK</v>
      </c>
      <c r="I234" s="7" t="str">
        <f t="array" ref="I234">XLOOKUP(G234,Label!$A$2:$A$309, Label!$B$2:$B$309)</f>
        <v>Layout Shifted</v>
      </c>
      <c r="J234" s="7" t="str">
        <f t="array" ref="J234">XLOOKUP(G234,Label!$A$2:$A$309, Label!$C$2:$C$309)</f>
        <v/>
      </c>
    </row>
    <row r="235">
      <c r="A235" s="5" t="s">
        <v>241</v>
      </c>
      <c r="B235" s="7" t="str">
        <f t="shared" si="1"/>
        <v>OK</v>
      </c>
      <c r="C235" s="6" t="s">
        <v>271</v>
      </c>
      <c r="E235" s="7" t="str">
        <f t="shared" si="2"/>
        <v>OK</v>
      </c>
      <c r="G235" s="6" t="s">
        <v>271</v>
      </c>
      <c r="H235" s="7" t="str">
        <f t="shared" si="3"/>
        <v>OK</v>
      </c>
      <c r="I235" s="7" t="str">
        <f t="array" ref="I235">XLOOKUP(G235,Label!$A$2:$A$309, Label!$B$2:$B$309)</f>
        <v>Specific Items are Mis-aligned</v>
      </c>
      <c r="J235" s="7" t="str">
        <f t="array" ref="J235">XLOOKUP(G235,Label!$A$2:$A$309, Label!$C$2:$C$309)</f>
        <v/>
      </c>
    </row>
    <row r="236">
      <c r="A236" s="5" t="s">
        <v>242</v>
      </c>
      <c r="B236" s="7" t="str">
        <f t="shared" si="1"/>
        <v>OK</v>
      </c>
      <c r="C236" s="6" t="s">
        <v>272</v>
      </c>
      <c r="E236" s="7" t="str">
        <f t="shared" si="2"/>
        <v>OK</v>
      </c>
      <c r="G236" s="6" t="s">
        <v>272</v>
      </c>
      <c r="H236" s="7" t="str">
        <f t="shared" si="3"/>
        <v>OK</v>
      </c>
      <c r="I236" s="7" t="str">
        <f t="array" ref="I236">XLOOKUP(G236,Label!$A$2:$A$309, Label!$B$2:$B$309)</f>
        <v>Contents Disappeared</v>
      </c>
      <c r="J236" s="7" t="str">
        <f t="array" ref="J236">XLOOKUP(G236,Label!$A$2:$A$309, Label!$C$2:$C$309)</f>
        <v/>
      </c>
    </row>
    <row r="237">
      <c r="A237" s="5" t="s">
        <v>243</v>
      </c>
      <c r="B237" s="7" t="str">
        <f t="shared" si="1"/>
        <v>OK</v>
      </c>
      <c r="C237" s="6" t="s">
        <v>273</v>
      </c>
      <c r="E237" s="7" t="str">
        <f t="shared" si="2"/>
        <v>OK</v>
      </c>
      <c r="G237" s="6" t="s">
        <v>273</v>
      </c>
      <c r="H237" s="7" t="str">
        <f t="shared" si="3"/>
        <v>OK</v>
      </c>
      <c r="I237" s="7" t="str">
        <f t="array" ref="I237">XLOOKUP(G237,Label!$A$2:$A$309, Label!$B$2:$B$309)</f>
        <v>Border Color Changed</v>
      </c>
      <c r="J237" s="7" t="str">
        <f t="array" ref="J237">XLOOKUP(G237,Label!$A$2:$A$309, Label!$C$2:$C$309)</f>
        <v/>
      </c>
    </row>
    <row r="238">
      <c r="A238" s="5" t="s">
        <v>244</v>
      </c>
      <c r="B238" s="7" t="str">
        <f t="shared" si="1"/>
        <v>OK</v>
      </c>
      <c r="C238" s="6" t="s">
        <v>274</v>
      </c>
      <c r="E238" s="7" t="str">
        <f t="shared" si="2"/>
        <v>OK</v>
      </c>
      <c r="G238" s="6" t="s">
        <v>274</v>
      </c>
      <c r="H238" s="7" t="str">
        <f t="shared" si="3"/>
        <v>OK</v>
      </c>
      <c r="I238" s="7" t="str">
        <f t="array" ref="I238">XLOOKUP(G238,Label!$A$2:$A$309, Label!$B$2:$B$309)</f>
        <v>OutOfScope: Cannot access</v>
      </c>
      <c r="J238" s="7" t="str">
        <f t="array" ref="J238">XLOOKUP(G238,Label!$A$2:$A$309, Label!$C$2:$C$309)</f>
        <v/>
      </c>
    </row>
    <row r="239">
      <c r="A239" s="5" t="s">
        <v>245</v>
      </c>
      <c r="B239" s="7" t="str">
        <f t="shared" si="1"/>
        <v>OK</v>
      </c>
      <c r="C239" s="6" t="s">
        <v>275</v>
      </c>
      <c r="E239" s="7" t="str">
        <f t="shared" si="2"/>
        <v>OK</v>
      </c>
      <c r="G239" s="6" t="s">
        <v>275</v>
      </c>
      <c r="H239" s="7" t="str">
        <f t="shared" si="3"/>
        <v>OK</v>
      </c>
      <c r="I239" s="7" t="str">
        <f t="array" ref="I239">XLOOKUP(G239,Label!$A$2:$A$309, Label!$B$2:$B$309)</f>
        <v>Specific Items are Mis-aligned</v>
      </c>
      <c r="J239" s="7" t="str">
        <f t="array" ref="J239">XLOOKUP(G239,Label!$A$2:$A$309, Label!$C$2:$C$309)</f>
        <v/>
      </c>
    </row>
    <row r="240">
      <c r="A240" s="5" t="s">
        <v>246</v>
      </c>
      <c r="B240" s="7" t="str">
        <f t="shared" si="1"/>
        <v>OK</v>
      </c>
      <c r="C240" s="6" t="s">
        <v>276</v>
      </c>
      <c r="E240" s="7" t="str">
        <f t="shared" si="2"/>
        <v>OK</v>
      </c>
      <c r="G240" s="6" t="s">
        <v>276</v>
      </c>
      <c r="H240" s="7" t="str">
        <f t="shared" si="3"/>
        <v>OK</v>
      </c>
      <c r="I240" s="7" t="str">
        <f t="array" ref="I240">XLOOKUP(G240,Label!$A$2:$A$309, Label!$B$2:$B$309)</f>
        <v>OutOfScope: New Story</v>
      </c>
      <c r="J240" s="7" t="str">
        <f t="array" ref="J240">XLOOKUP(G240,Label!$A$2:$A$309, Label!$C$2:$C$309)</f>
        <v/>
      </c>
    </row>
    <row r="241">
      <c r="A241" s="5" t="s">
        <v>247</v>
      </c>
      <c r="B241" s="7" t="str">
        <f t="shared" si="1"/>
        <v>OK</v>
      </c>
      <c r="C241" s="6" t="s">
        <v>277</v>
      </c>
      <c r="E241" s="7" t="str">
        <f t="shared" si="2"/>
        <v>OK</v>
      </c>
      <c r="G241" s="6" t="s">
        <v>277</v>
      </c>
      <c r="H241" s="7" t="str">
        <f t="shared" si="3"/>
        <v>OK</v>
      </c>
      <c r="I241" s="7" t="str">
        <f t="array" ref="I241">XLOOKUP(G241,Label!$A$2:$A$309, Label!$B$2:$B$309)</f>
        <v>OutOfScope: New Story</v>
      </c>
      <c r="J241" s="7" t="str">
        <f t="array" ref="J241">XLOOKUP(G241,Label!$A$2:$A$309, Label!$C$2:$C$309)</f>
        <v/>
      </c>
    </row>
    <row r="242">
      <c r="A242" s="5" t="s">
        <v>248</v>
      </c>
      <c r="B242" s="7" t="str">
        <f t="shared" si="1"/>
        <v>OK</v>
      </c>
      <c r="C242" s="6" t="s">
        <v>278</v>
      </c>
      <c r="E242" s="7" t="str">
        <f t="shared" si="2"/>
        <v>OK</v>
      </c>
      <c r="G242" s="6" t="s">
        <v>278</v>
      </c>
      <c r="H242" s="7" t="str">
        <f t="shared" si="3"/>
        <v>OK</v>
      </c>
      <c r="I242" s="7" t="str">
        <f t="array" ref="I242">XLOOKUP(G242,Label!$A$2:$A$309, Label!$B$2:$B$309)</f>
        <v>OutOfScope: Duplicates</v>
      </c>
      <c r="J242" s="7" t="str">
        <f t="array" ref="J242">XLOOKUP(G242,Label!$A$2:$A$309, Label!$C$2:$C$309)</f>
        <v/>
      </c>
    </row>
    <row r="243">
      <c r="A243" s="5" t="s">
        <v>249</v>
      </c>
      <c r="B243" s="7" t="str">
        <f t="shared" si="1"/>
        <v>OK</v>
      </c>
      <c r="C243" s="6" t="s">
        <v>279</v>
      </c>
      <c r="E243" s="7" t="str">
        <f t="shared" si="2"/>
        <v>OK</v>
      </c>
      <c r="G243" s="6" t="s">
        <v>279</v>
      </c>
      <c r="H243" s="7" t="str">
        <f t="shared" si="3"/>
        <v>OK</v>
      </c>
      <c r="I243" s="7" t="str">
        <f t="array" ref="I243">XLOOKUP(G243,Label!$A$2:$A$309, Label!$B$2:$B$309)</f>
        <v>Layout Shifted</v>
      </c>
      <c r="J243" s="7" t="str">
        <f t="array" ref="J243">XLOOKUP(G243,Label!$A$2:$A$309, Label!$C$2:$C$309)</f>
        <v>Text Size Changed</v>
      </c>
    </row>
    <row r="244">
      <c r="A244" s="5" t="s">
        <v>250</v>
      </c>
      <c r="B244" s="7" t="str">
        <f t="shared" si="1"/>
        <v>OK</v>
      </c>
      <c r="C244" s="6" t="s">
        <v>280</v>
      </c>
      <c r="E244" s="7" t="str">
        <f t="shared" si="2"/>
        <v>OK</v>
      </c>
      <c r="G244" s="6" t="s">
        <v>280</v>
      </c>
      <c r="H244" s="7" t="str">
        <f t="shared" si="3"/>
        <v>OK</v>
      </c>
      <c r="I244" s="7" t="str">
        <f t="array" ref="I244">XLOOKUP(G244,Label!$A$2:$A$309, Label!$B$2:$B$309)</f>
        <v>OutOfScope: Duplicates</v>
      </c>
      <c r="J244" s="7" t="str">
        <f t="array" ref="J244">XLOOKUP(G244,Label!$A$2:$A$309, Label!$C$2:$C$309)</f>
        <v/>
      </c>
    </row>
    <row r="245">
      <c r="A245" s="5" t="s">
        <v>251</v>
      </c>
      <c r="B245" s="7" t="str">
        <f t="shared" si="1"/>
        <v>OK</v>
      </c>
      <c r="C245" s="6" t="s">
        <v>281</v>
      </c>
      <c r="E245" s="7" t="str">
        <f t="shared" si="2"/>
        <v>OK</v>
      </c>
      <c r="G245" s="6" t="s">
        <v>281</v>
      </c>
      <c r="H245" s="7" t="str">
        <f t="shared" si="3"/>
        <v>OK</v>
      </c>
      <c r="I245" s="7" t="str">
        <f t="array" ref="I245">XLOOKUP(G245,Label!$A$2:$A$309, Label!$B$2:$B$309)</f>
        <v>OutOfScope: Duplicates</v>
      </c>
      <c r="J245" s="7" t="str">
        <f t="array" ref="J245">XLOOKUP(G245,Label!$A$2:$A$309, Label!$C$2:$C$309)</f>
        <v/>
      </c>
    </row>
    <row r="246">
      <c r="A246" s="5" t="s">
        <v>252</v>
      </c>
      <c r="B246" s="7" t="str">
        <f t="shared" si="1"/>
        <v>OK</v>
      </c>
      <c r="C246" s="6" t="s">
        <v>282</v>
      </c>
      <c r="E246" s="7" t="str">
        <f t="shared" si="2"/>
        <v>OK</v>
      </c>
      <c r="G246" s="6" t="s">
        <v>282</v>
      </c>
      <c r="H246" s="7" t="str">
        <f t="shared" si="3"/>
        <v>OK</v>
      </c>
      <c r="I246" s="7" t="str">
        <f t="array" ref="I246">XLOOKUP(G246,Label!$A$2:$A$309, Label!$B$2:$B$309)</f>
        <v>Box Size Changed</v>
      </c>
      <c r="J246" s="7" t="str">
        <f t="array" ref="J246">XLOOKUP(G246,Label!$A$2:$A$309, Label!$C$2:$C$309)</f>
        <v/>
      </c>
    </row>
    <row r="247">
      <c r="A247" s="5" t="s">
        <v>253</v>
      </c>
      <c r="B247" s="7" t="str">
        <f t="shared" si="1"/>
        <v>OK</v>
      </c>
      <c r="C247" s="6" t="s">
        <v>283</v>
      </c>
      <c r="E247" s="7" t="str">
        <f t="shared" si="2"/>
        <v>OK</v>
      </c>
      <c r="G247" s="6" t="s">
        <v>283</v>
      </c>
      <c r="H247" s="7" t="str">
        <f t="shared" si="3"/>
        <v>OK</v>
      </c>
      <c r="I247" s="7" t="str">
        <f t="array" ref="I247">XLOOKUP(G247,Label!$A$2:$A$309, Label!$B$2:$B$309)</f>
        <v>Box Size Changed</v>
      </c>
      <c r="J247" s="7" t="str">
        <f t="array" ref="J247">XLOOKUP(G247,Label!$A$2:$A$309, Label!$C$2:$C$309)</f>
        <v/>
      </c>
    </row>
    <row r="248">
      <c r="A248" s="5" t="s">
        <v>254</v>
      </c>
      <c r="B248" s="7" t="str">
        <f t="shared" si="1"/>
        <v>OK</v>
      </c>
      <c r="C248" s="6" t="s">
        <v>284</v>
      </c>
      <c r="E248" s="7" t="str">
        <f t="shared" si="2"/>
        <v>OK</v>
      </c>
      <c r="G248" s="6" t="s">
        <v>284</v>
      </c>
      <c r="H248" s="7" t="str">
        <f t="shared" si="3"/>
        <v>OK</v>
      </c>
      <c r="I248" s="7" t="str">
        <f t="array" ref="I248">XLOOKUP(G248,Label!$A$2:$A$309, Label!$B$2:$B$309)</f>
        <v>OutOfScope: Duplicates</v>
      </c>
      <c r="J248" s="7" t="str">
        <f t="array" ref="J248">XLOOKUP(G248,Label!$A$2:$A$309, Label!$C$2:$C$309)</f>
        <v/>
      </c>
    </row>
    <row r="249">
      <c r="A249" s="5" t="s">
        <v>255</v>
      </c>
      <c r="B249" s="7" t="str">
        <f t="shared" si="1"/>
        <v>OK</v>
      </c>
      <c r="C249" s="6" t="s">
        <v>285</v>
      </c>
      <c r="E249" s="7" t="str">
        <f t="shared" si="2"/>
        <v>OK</v>
      </c>
      <c r="G249" s="6" t="s">
        <v>285</v>
      </c>
      <c r="H249" s="7" t="str">
        <f t="shared" si="3"/>
        <v>OK</v>
      </c>
      <c r="I249" s="7" t="str">
        <f t="array" ref="I249">XLOOKUP(G249,Label!$A$2:$A$309, Label!$B$2:$B$309)</f>
        <v>Fragile Snapshot</v>
      </c>
      <c r="J249" s="7" t="str">
        <f t="array" ref="J249">XLOOKUP(G249,Label!$A$2:$A$309, Label!$C$2:$C$309)</f>
        <v/>
      </c>
    </row>
    <row r="250">
      <c r="A250" s="5" t="s">
        <v>256</v>
      </c>
      <c r="B250" s="7" t="str">
        <f t="shared" si="1"/>
        <v>OK</v>
      </c>
      <c r="C250" s="6" t="s">
        <v>286</v>
      </c>
      <c r="E250" s="7" t="str">
        <f t="shared" si="2"/>
        <v>OK</v>
      </c>
      <c r="G250" s="6" t="s">
        <v>286</v>
      </c>
      <c r="H250" s="7" t="str">
        <f t="shared" si="3"/>
        <v>OK</v>
      </c>
      <c r="I250" s="7" t="str">
        <f t="array" ref="I250">XLOOKUP(G250,Label!$A$2:$A$309, Label!$B$2:$B$309)</f>
        <v>Box Shape Changed</v>
      </c>
      <c r="J250" s="7" t="str">
        <f t="array" ref="J250">XLOOKUP(G250,Label!$A$2:$A$309, Label!$C$2:$C$309)</f>
        <v/>
      </c>
    </row>
    <row r="251">
      <c r="A251" s="5" t="s">
        <v>257</v>
      </c>
      <c r="B251" s="7" t="str">
        <f t="shared" si="1"/>
        <v>OK</v>
      </c>
      <c r="C251" s="6" t="s">
        <v>287</v>
      </c>
      <c r="E251" s="7" t="str">
        <f t="shared" si="2"/>
        <v>OK</v>
      </c>
      <c r="G251" s="6" t="s">
        <v>287</v>
      </c>
      <c r="H251" s="7" t="str">
        <f t="shared" si="3"/>
        <v>OK</v>
      </c>
      <c r="I251" s="7" t="str">
        <f t="array" ref="I251">XLOOKUP(G251,Label!$A$2:$A$309, Label!$B$2:$B$309)</f>
        <v>Text Size Changed</v>
      </c>
      <c r="J251" s="7" t="str">
        <f t="array" ref="J251">XLOOKUP(G251,Label!$A$2:$A$309, Label!$C$2:$C$309)</f>
        <v/>
      </c>
    </row>
    <row r="252">
      <c r="A252" s="5" t="s">
        <v>258</v>
      </c>
      <c r="B252" s="7" t="str">
        <f t="shared" si="1"/>
        <v>OK</v>
      </c>
      <c r="C252" s="6" t="s">
        <v>288</v>
      </c>
      <c r="E252" s="7" t="str">
        <f t="shared" si="2"/>
        <v>OK</v>
      </c>
      <c r="G252" s="6" t="s">
        <v>288</v>
      </c>
      <c r="H252" s="7" t="str">
        <f t="shared" si="3"/>
        <v>OK</v>
      </c>
      <c r="I252" s="7" t="str">
        <f t="array" ref="I252">XLOOKUP(G252,Label!$A$2:$A$309, Label!$B$2:$B$309)</f>
        <v>Layout Changed</v>
      </c>
      <c r="J252" s="7" t="str">
        <f t="array" ref="J252">XLOOKUP(G252,Label!$A$2:$A$309, Label!$C$2:$C$309)</f>
        <v/>
      </c>
    </row>
    <row r="253">
      <c r="A253" s="5" t="s">
        <v>259</v>
      </c>
      <c r="B253" s="7" t="str">
        <f t="shared" si="1"/>
        <v>OK</v>
      </c>
      <c r="C253" s="6" t="s">
        <v>289</v>
      </c>
      <c r="E253" s="7" t="str">
        <f t="shared" si="2"/>
        <v>OK</v>
      </c>
      <c r="G253" s="6" t="s">
        <v>289</v>
      </c>
      <c r="H253" s="7" t="str">
        <f t="shared" si="3"/>
        <v>OK</v>
      </c>
      <c r="I253" s="7" t="str">
        <f t="array" ref="I253">XLOOKUP(G253,Label!$A$2:$A$309, Label!$B$2:$B$309)</f>
        <v>OutOfScope: Duplicates</v>
      </c>
      <c r="J253" s="7" t="str">
        <f t="array" ref="J253">XLOOKUP(G253,Label!$A$2:$A$309, Label!$C$2:$C$309)</f>
        <v/>
      </c>
    </row>
    <row r="254">
      <c r="A254" s="5" t="s">
        <v>260</v>
      </c>
      <c r="B254" s="7" t="str">
        <f t="shared" si="1"/>
        <v>OK</v>
      </c>
      <c r="C254" s="6" t="s">
        <v>290</v>
      </c>
      <c r="E254" s="7" t="str">
        <f t="shared" si="2"/>
        <v>OK</v>
      </c>
      <c r="G254" s="6" t="s">
        <v>290</v>
      </c>
      <c r="H254" s="7" t="str">
        <f t="shared" si="3"/>
        <v>OK</v>
      </c>
      <c r="I254" s="7" t="str">
        <f t="array" ref="I254">XLOOKUP(G254,Label!$A$2:$A$309, Label!$B$2:$B$309)</f>
        <v>OutOfScope: Not VRT Discussion</v>
      </c>
      <c r="J254" s="7" t="str">
        <f t="array" ref="J254">XLOOKUP(G254,Label!$A$2:$A$309, Label!$C$2:$C$309)</f>
        <v/>
      </c>
    </row>
    <row r="255">
      <c r="A255" s="5" t="s">
        <v>261</v>
      </c>
      <c r="B255" s="7" t="str">
        <f t="shared" si="1"/>
        <v>OK</v>
      </c>
      <c r="C255" s="6" t="s">
        <v>291</v>
      </c>
      <c r="E255" s="7" t="str">
        <f t="shared" si="2"/>
        <v>OK</v>
      </c>
      <c r="G255" s="6" t="s">
        <v>291</v>
      </c>
      <c r="H255" s="7" t="str">
        <f t="shared" si="3"/>
        <v>OK</v>
      </c>
      <c r="I255" s="7" t="str">
        <f t="array" ref="I255">XLOOKUP(G255,Label!$A$2:$A$309, Label!$B$2:$B$309)</f>
        <v>OutOfScope: Duplicates</v>
      </c>
      <c r="J255" s="7" t="str">
        <f t="array" ref="J255">XLOOKUP(G255,Label!$A$2:$A$309, Label!$C$2:$C$309)</f>
        <v/>
      </c>
    </row>
    <row r="256">
      <c r="A256" s="5" t="s">
        <v>262</v>
      </c>
      <c r="B256" s="7" t="str">
        <f t="shared" si="1"/>
        <v>OK</v>
      </c>
      <c r="C256" s="6" t="s">
        <v>292</v>
      </c>
      <c r="E256" s="7" t="str">
        <f t="shared" si="2"/>
        <v>OK</v>
      </c>
      <c r="G256" s="6" t="s">
        <v>292</v>
      </c>
      <c r="H256" s="7" t="str">
        <f t="shared" si="3"/>
        <v>OK</v>
      </c>
      <c r="I256" s="7" t="str">
        <f t="array" ref="I256">XLOOKUP(G256,Label!$A$2:$A$309, Label!$B$2:$B$309)</f>
        <v>Box Color Changed</v>
      </c>
      <c r="J256" s="7" t="str">
        <f t="array" ref="J256">XLOOKUP(G256,Label!$A$2:$A$309, Label!$C$2:$C$309)</f>
        <v>Box Color Changed</v>
      </c>
    </row>
    <row r="257">
      <c r="A257" s="5" t="s">
        <v>263</v>
      </c>
      <c r="B257" s="7" t="str">
        <f t="shared" si="1"/>
        <v>OK</v>
      </c>
      <c r="C257" s="6" t="s">
        <v>293</v>
      </c>
      <c r="E257" s="7" t="str">
        <f t="shared" si="2"/>
        <v>OK</v>
      </c>
      <c r="G257" s="6" t="s">
        <v>293</v>
      </c>
      <c r="H257" s="7" t="str">
        <f t="shared" si="3"/>
        <v>OK</v>
      </c>
      <c r="I257" s="7" t="str">
        <f t="array" ref="I257">XLOOKUP(G257,Label!$A$2:$A$309, Label!$B$2:$B$309)</f>
        <v>Box Size Changed</v>
      </c>
      <c r="J257" s="7" t="str">
        <f t="array" ref="J257">XLOOKUP(G257,Label!$A$2:$A$309, Label!$C$2:$C$309)</f>
        <v/>
      </c>
    </row>
    <row r="258">
      <c r="A258" s="5" t="s">
        <v>264</v>
      </c>
      <c r="B258" s="7" t="str">
        <f t="shared" si="1"/>
        <v>OK</v>
      </c>
      <c r="C258" s="6" t="s">
        <v>294</v>
      </c>
      <c r="E258" s="7" t="str">
        <f t="shared" si="2"/>
        <v>OK</v>
      </c>
      <c r="G258" s="6" t="s">
        <v>294</v>
      </c>
      <c r="H258" s="7" t="str">
        <f t="shared" si="3"/>
        <v>OK</v>
      </c>
      <c r="I258" s="7" t="str">
        <f t="array" ref="I258">XLOOKUP(G258,Label!$A$2:$A$309, Label!$B$2:$B$309)</f>
        <v>OutOfScope: Duplicates</v>
      </c>
      <c r="J258" s="7" t="str">
        <f t="array" ref="J258">XLOOKUP(G258,Label!$A$2:$A$309, Label!$C$2:$C$309)</f>
        <v/>
      </c>
    </row>
    <row r="259">
      <c r="A259" s="5" t="s">
        <v>265</v>
      </c>
      <c r="B259" s="7" t="str">
        <f t="shared" si="1"/>
        <v>OK</v>
      </c>
      <c r="C259" s="6" t="s">
        <v>295</v>
      </c>
      <c r="E259" s="7" t="str">
        <f t="shared" si="2"/>
        <v>OK</v>
      </c>
      <c r="G259" s="6" t="s">
        <v>295</v>
      </c>
      <c r="H259" s="7" t="str">
        <f t="shared" si="3"/>
        <v>OK</v>
      </c>
      <c r="I259" s="7" t="str">
        <f t="array" ref="I259">XLOOKUP(G259,Label!$A$2:$A$309, Label!$B$2:$B$309)</f>
        <v>OutOfScope: Duplicates</v>
      </c>
      <c r="J259" s="7" t="str">
        <f t="array" ref="J259">XLOOKUP(G259,Label!$A$2:$A$309, Label!$C$2:$C$309)</f>
        <v/>
      </c>
    </row>
    <row r="260">
      <c r="A260" s="5" t="s">
        <v>266</v>
      </c>
      <c r="B260" s="7" t="str">
        <f t="shared" si="1"/>
        <v>OK</v>
      </c>
      <c r="C260" s="6" t="s">
        <v>296</v>
      </c>
      <c r="E260" s="7" t="str">
        <f t="shared" si="2"/>
        <v>OK</v>
      </c>
      <c r="G260" s="6" t="s">
        <v>296</v>
      </c>
      <c r="H260" s="7" t="str">
        <f t="shared" si="3"/>
        <v>OK</v>
      </c>
      <c r="I260" s="7" t="str">
        <f t="array" ref="I260">XLOOKUP(G260,Label!$A$2:$A$309, Label!$B$2:$B$309)</f>
        <v>OutOfScope: Not VRT Discussion</v>
      </c>
      <c r="J260" s="7" t="str">
        <f t="array" ref="J260">XLOOKUP(G260,Label!$A$2:$A$309, Label!$C$2:$C$309)</f>
        <v/>
      </c>
    </row>
    <row r="261">
      <c r="A261" s="5" t="s">
        <v>267</v>
      </c>
      <c r="B261" s="7" t="str">
        <f t="shared" si="1"/>
        <v>OK</v>
      </c>
      <c r="C261" s="6" t="s">
        <v>297</v>
      </c>
      <c r="E261" s="7" t="str">
        <f t="shared" si="2"/>
        <v>OK</v>
      </c>
      <c r="G261" s="6" t="s">
        <v>297</v>
      </c>
      <c r="H261" s="7" t="str">
        <f t="shared" si="3"/>
        <v>OK</v>
      </c>
      <c r="I261" s="7" t="str">
        <f t="array" ref="I261">XLOOKUP(G261,Label!$A$2:$A$309, Label!$B$2:$B$309)</f>
        <v>Box Color Changed</v>
      </c>
      <c r="J261" s="7" t="str">
        <f t="array" ref="J261">XLOOKUP(G261,Label!$A$2:$A$309, Label!$C$2:$C$309)</f>
        <v/>
      </c>
    </row>
    <row r="262">
      <c r="A262" s="5" t="s">
        <v>268</v>
      </c>
      <c r="B262" s="7" t="str">
        <f t="shared" si="1"/>
        <v>OK</v>
      </c>
      <c r="C262" s="6" t="s">
        <v>298</v>
      </c>
      <c r="E262" s="7" t="str">
        <f t="shared" si="2"/>
        <v>OK</v>
      </c>
      <c r="G262" s="6" t="s">
        <v>298</v>
      </c>
      <c r="H262" s="7" t="str">
        <f t="shared" si="3"/>
        <v>OK</v>
      </c>
      <c r="I262" s="7" t="str">
        <f t="array" ref="I262">XLOOKUP(G262,Label!$A$2:$A$309, Label!$B$2:$B$309)</f>
        <v>No or Few Visual Diffrences Detected</v>
      </c>
      <c r="J262" s="7" t="str">
        <f t="array" ref="J262">XLOOKUP(G262,Label!$A$2:$A$309, Label!$C$2:$C$309)</f>
        <v/>
      </c>
    </row>
    <row r="263">
      <c r="A263" s="5" t="s">
        <v>269</v>
      </c>
      <c r="B263" s="7" t="str">
        <f t="shared" si="1"/>
        <v>OK</v>
      </c>
      <c r="C263" s="6" t="s">
        <v>299</v>
      </c>
      <c r="E263" s="7" t="str">
        <f t="shared" si="2"/>
        <v>OK</v>
      </c>
      <c r="G263" s="6" t="s">
        <v>299</v>
      </c>
      <c r="H263" s="7" t="str">
        <f t="shared" si="3"/>
        <v>OK</v>
      </c>
      <c r="I263" s="7" t="str">
        <f t="array" ref="I263">XLOOKUP(G263,Label!$A$2:$A$309, Label!$B$2:$B$309)</f>
        <v>Box Size Changed</v>
      </c>
      <c r="J263" s="7" t="str">
        <f t="array" ref="J263">XLOOKUP(G263,Label!$A$2:$A$309, Label!$C$2:$C$309)</f>
        <v/>
      </c>
    </row>
    <row r="264">
      <c r="A264" s="5" t="s">
        <v>270</v>
      </c>
      <c r="B264" s="7" t="str">
        <f t="shared" si="1"/>
        <v>OK</v>
      </c>
      <c r="C264" s="6" t="s">
        <v>300</v>
      </c>
      <c r="E264" s="7" t="str">
        <f t="shared" si="2"/>
        <v>OK</v>
      </c>
      <c r="G264" s="6" t="s">
        <v>300</v>
      </c>
      <c r="H264" s="7" t="str">
        <f t="shared" si="3"/>
        <v>OK</v>
      </c>
      <c r="I264" s="7" t="str">
        <f t="array" ref="I264">XLOOKUP(G264,Label!$A$2:$A$309, Label!$B$2:$B$309)</f>
        <v>Image Adjusted</v>
      </c>
      <c r="J264" s="7" t="str">
        <f t="array" ref="J264">XLOOKUP(G264,Label!$A$2:$A$309, Label!$C$2:$C$309)</f>
        <v/>
      </c>
    </row>
    <row r="265">
      <c r="A265" s="5" t="s">
        <v>271</v>
      </c>
      <c r="B265" s="7" t="str">
        <f t="shared" si="1"/>
        <v>OK</v>
      </c>
      <c r="C265" s="6" t="s">
        <v>301</v>
      </c>
      <c r="E265" s="7" t="str">
        <f t="shared" si="2"/>
        <v>OK</v>
      </c>
      <c r="G265" s="6" t="s">
        <v>301</v>
      </c>
      <c r="H265" s="7" t="str">
        <f t="shared" si="3"/>
        <v>OK</v>
      </c>
      <c r="I265" s="7" t="str">
        <f t="array" ref="I265">XLOOKUP(G265,Label!$A$2:$A$309, Label!$B$2:$B$309)</f>
        <v>Image Adjusted</v>
      </c>
      <c r="J265" s="7" t="str">
        <f t="array" ref="J265">XLOOKUP(G265,Label!$A$2:$A$309, Label!$C$2:$C$309)</f>
        <v>Contents Disappeared</v>
      </c>
    </row>
    <row r="266">
      <c r="A266" s="5" t="s">
        <v>272</v>
      </c>
      <c r="B266" s="7" t="str">
        <f t="shared" si="1"/>
        <v>OK</v>
      </c>
      <c r="C266" s="6" t="s">
        <v>302</v>
      </c>
      <c r="E266" s="7" t="str">
        <f t="shared" si="2"/>
        <v>OK</v>
      </c>
      <c r="G266" s="6" t="s">
        <v>302</v>
      </c>
      <c r="H266" s="7" t="str">
        <f t="shared" si="3"/>
        <v>OK</v>
      </c>
      <c r="I266" s="7" t="str">
        <f t="array" ref="I266">XLOOKUP(G266,Label!$A$2:$A$309, Label!$B$2:$B$309)</f>
        <v>Box Shape Changed</v>
      </c>
      <c r="J266" s="7" t="str">
        <f t="array" ref="J266">XLOOKUP(G266,Label!$A$2:$A$309, Label!$C$2:$C$309)</f>
        <v/>
      </c>
    </row>
    <row r="267">
      <c r="A267" s="5" t="s">
        <v>273</v>
      </c>
      <c r="B267" s="7" t="str">
        <f t="shared" si="1"/>
        <v>OK</v>
      </c>
      <c r="C267" s="6" t="s">
        <v>303</v>
      </c>
      <c r="E267" s="7" t="str">
        <f t="shared" si="2"/>
        <v>OK</v>
      </c>
      <c r="G267" s="6" t="s">
        <v>303</v>
      </c>
      <c r="H267" s="7" t="str">
        <f t="shared" si="3"/>
        <v>OK</v>
      </c>
      <c r="I267" s="7" t="str">
        <f t="array" ref="I267">XLOOKUP(G267,Label!$A$2:$A$309, Label!$B$2:$B$309)</f>
        <v>OutOfScope: Duplicates</v>
      </c>
      <c r="J267" s="7" t="str">
        <f t="array" ref="J267">XLOOKUP(G267,Label!$A$2:$A$309, Label!$C$2:$C$309)</f>
        <v/>
      </c>
    </row>
    <row r="268">
      <c r="A268" s="5" t="s">
        <v>274</v>
      </c>
      <c r="B268" s="7" t="str">
        <f t="shared" si="1"/>
        <v>OK</v>
      </c>
      <c r="C268" s="6" t="s">
        <v>304</v>
      </c>
      <c r="E268" s="7" t="str">
        <f t="shared" si="2"/>
        <v>OK</v>
      </c>
      <c r="G268" s="6" t="s">
        <v>304</v>
      </c>
      <c r="H268" s="7" t="str">
        <f t="shared" si="3"/>
        <v>OK</v>
      </c>
      <c r="I268" s="7" t="str">
        <f t="array" ref="I268">XLOOKUP(G268,Label!$A$2:$A$309, Label!$B$2:$B$309)</f>
        <v>Box Size Changed</v>
      </c>
      <c r="J268" s="7" t="str">
        <f t="array" ref="J268">XLOOKUP(G268,Label!$A$2:$A$309, Label!$C$2:$C$309)</f>
        <v/>
      </c>
    </row>
    <row r="269">
      <c r="A269" s="5" t="s">
        <v>275</v>
      </c>
      <c r="B269" s="7" t="str">
        <f t="shared" si="1"/>
        <v>OK</v>
      </c>
      <c r="C269" s="6" t="s">
        <v>305</v>
      </c>
      <c r="E269" s="7" t="str">
        <f t="shared" si="2"/>
        <v>OK</v>
      </c>
      <c r="G269" s="6" t="s">
        <v>305</v>
      </c>
      <c r="H269" s="7" t="str">
        <f t="shared" si="3"/>
        <v>OK</v>
      </c>
      <c r="I269" s="7" t="str">
        <f t="array" ref="I269">XLOOKUP(G269,Label!$A$2:$A$309, Label!$B$2:$B$309)</f>
        <v>OutOfScope: Duplicates</v>
      </c>
      <c r="J269" s="7" t="str">
        <f t="array" ref="J269">XLOOKUP(G269,Label!$A$2:$A$309, Label!$C$2:$C$309)</f>
        <v/>
      </c>
    </row>
    <row r="270">
      <c r="A270" s="5" t="s">
        <v>276</v>
      </c>
      <c r="B270" s="7" t="str">
        <f t="shared" si="1"/>
        <v>OK</v>
      </c>
      <c r="C270" s="6" t="s">
        <v>306</v>
      </c>
      <c r="E270" s="7" t="str">
        <f t="shared" si="2"/>
        <v>OK</v>
      </c>
      <c r="G270" s="6" t="s">
        <v>306</v>
      </c>
      <c r="H270" s="7" t="str">
        <f t="shared" si="3"/>
        <v>OK</v>
      </c>
      <c r="I270" s="7" t="str">
        <f t="array" ref="I270">XLOOKUP(G270,Label!$A$2:$A$309, Label!$B$2:$B$309)</f>
        <v>Image Adjusted</v>
      </c>
      <c r="J270" s="7" t="str">
        <f t="array" ref="J270">XLOOKUP(G270,Label!$A$2:$A$309, Label!$C$2:$C$309)</f>
        <v/>
      </c>
    </row>
    <row r="271">
      <c r="A271" s="5" t="s">
        <v>277</v>
      </c>
      <c r="B271" s="7" t="str">
        <f t="shared" si="1"/>
        <v>OK</v>
      </c>
      <c r="C271" s="6" t="s">
        <v>307</v>
      </c>
      <c r="E271" s="7" t="str">
        <f t="shared" si="2"/>
        <v>OK</v>
      </c>
      <c r="G271" s="6" t="s">
        <v>307</v>
      </c>
      <c r="H271" s="7" t="str">
        <f t="shared" si="3"/>
        <v>OK</v>
      </c>
      <c r="I271" s="7" t="str">
        <f t="array" ref="I271">XLOOKUP(G271,Label!$A$2:$A$309, Label!$B$2:$B$309)</f>
        <v>Contents of Text Changed</v>
      </c>
      <c r="J271" s="7" t="str">
        <f t="array" ref="J271">XLOOKUP(G271,Label!$A$2:$A$309, Label!$C$2:$C$309)</f>
        <v/>
      </c>
    </row>
    <row r="272">
      <c r="A272" s="5" t="s">
        <v>278</v>
      </c>
      <c r="B272" s="7" t="str">
        <f t="shared" si="1"/>
        <v>OK</v>
      </c>
      <c r="C272" s="6" t="s">
        <v>308</v>
      </c>
      <c r="E272" s="7" t="str">
        <f t="shared" si="2"/>
        <v>OK</v>
      </c>
      <c r="G272" s="6" t="s">
        <v>308</v>
      </c>
      <c r="H272" s="7" t="str">
        <f t="shared" si="3"/>
        <v>OK</v>
      </c>
      <c r="I272" s="7" t="str">
        <f t="array" ref="I272">XLOOKUP(G272,Label!$A$2:$A$309, Label!$B$2:$B$309)</f>
        <v>Layout Changed</v>
      </c>
      <c r="J272" s="7" t="str">
        <f t="array" ref="J272">XLOOKUP(G272,Label!$A$2:$A$309, Label!$C$2:$C$309)</f>
        <v/>
      </c>
    </row>
    <row r="273">
      <c r="A273" s="5" t="s">
        <v>279</v>
      </c>
      <c r="B273" s="7" t="str">
        <f t="shared" si="1"/>
        <v>OK</v>
      </c>
      <c r="C273" s="6" t="s">
        <v>309</v>
      </c>
      <c r="E273" s="7" t="str">
        <f t="shared" si="2"/>
        <v>OK</v>
      </c>
      <c r="G273" s="6" t="s">
        <v>309</v>
      </c>
      <c r="H273" s="7" t="str">
        <f t="shared" si="3"/>
        <v>OK</v>
      </c>
      <c r="I273" s="7" t="str">
        <f t="array" ref="I273">XLOOKUP(G273,Label!$A$2:$A$309, Label!$B$2:$B$309)</f>
        <v>OutOfScope: Duplicates</v>
      </c>
      <c r="J273" s="7" t="str">
        <f t="array" ref="J273">XLOOKUP(G273,Label!$A$2:$A$309, Label!$C$2:$C$309)</f>
        <v/>
      </c>
    </row>
    <row r="274">
      <c r="A274" s="5" t="s">
        <v>280</v>
      </c>
      <c r="B274" s="7" t="str">
        <f t="shared" si="1"/>
        <v>OK</v>
      </c>
      <c r="C274" s="6" t="s">
        <v>310</v>
      </c>
      <c r="E274" s="7" t="str">
        <f t="shared" si="2"/>
        <v>OK</v>
      </c>
      <c r="G274" s="6" t="s">
        <v>310</v>
      </c>
      <c r="H274" s="7" t="str">
        <f t="shared" si="3"/>
        <v>OK</v>
      </c>
      <c r="I274" s="7" t="str">
        <f t="array" ref="I274">XLOOKUP(G274,Label!$A$2:$A$309, Label!$B$2:$B$309)</f>
        <v>OutOfScope: Duplicates</v>
      </c>
      <c r="J274" s="7" t="str">
        <f t="array" ref="J274">XLOOKUP(G274,Label!$A$2:$A$309, Label!$C$2:$C$309)</f>
        <v/>
      </c>
    </row>
    <row r="275">
      <c r="A275" s="5" t="s">
        <v>281</v>
      </c>
      <c r="B275" s="7" t="str">
        <f t="shared" si="1"/>
        <v>OK</v>
      </c>
      <c r="C275" s="6" t="s">
        <v>311</v>
      </c>
      <c r="E275" s="7" t="str">
        <f t="shared" si="2"/>
        <v>OK</v>
      </c>
      <c r="G275" s="6" t="s">
        <v>311</v>
      </c>
      <c r="H275" s="7" t="str">
        <f t="shared" si="3"/>
        <v>OK</v>
      </c>
      <c r="I275" s="7" t="str">
        <f t="array" ref="I275">XLOOKUP(G275,Label!$A$2:$A$309, Label!$B$2:$B$309)</f>
        <v>OutOfScope: Duplicates</v>
      </c>
      <c r="J275" s="7" t="str">
        <f t="array" ref="J275">XLOOKUP(G275,Label!$A$2:$A$309, Label!$C$2:$C$309)</f>
        <v/>
      </c>
    </row>
    <row r="276">
      <c r="A276" s="5" t="s">
        <v>282</v>
      </c>
      <c r="B276" s="7" t="str">
        <f t="shared" si="1"/>
        <v>OK</v>
      </c>
      <c r="C276" s="6" t="s">
        <v>312</v>
      </c>
      <c r="E276" s="7" t="str">
        <f t="shared" si="2"/>
        <v>OK</v>
      </c>
      <c r="G276" s="6" t="s">
        <v>312</v>
      </c>
      <c r="H276" s="7" t="str">
        <f t="shared" si="3"/>
        <v>OK</v>
      </c>
      <c r="I276" s="7" t="str">
        <f t="array" ref="I276">XLOOKUP(G276,Label!$A$2:$A$309, Label!$B$2:$B$309)</f>
        <v>Layout Changed</v>
      </c>
      <c r="J276" s="7" t="str">
        <f t="array" ref="J276">XLOOKUP(G276,Label!$A$2:$A$309, Label!$C$2:$C$309)</f>
        <v/>
      </c>
    </row>
    <row r="277">
      <c r="A277" s="5" t="s">
        <v>283</v>
      </c>
      <c r="B277" s="7" t="str">
        <f t="shared" si="1"/>
        <v>OK</v>
      </c>
      <c r="C277" s="6" t="s">
        <v>313</v>
      </c>
      <c r="E277" s="7" t="str">
        <f t="shared" si="2"/>
        <v>OK</v>
      </c>
      <c r="G277" s="6" t="s">
        <v>313</v>
      </c>
      <c r="H277" s="7" t="str">
        <f t="shared" si="3"/>
        <v>OK</v>
      </c>
      <c r="I277" s="7" t="str">
        <f t="array" ref="I277">XLOOKUP(G277,Label!$A$2:$A$309, Label!$B$2:$B$309)</f>
        <v>OutOfScope: Duplicates</v>
      </c>
      <c r="J277" s="7" t="str">
        <f t="array" ref="J277">XLOOKUP(G277,Label!$A$2:$A$309, Label!$C$2:$C$309)</f>
        <v/>
      </c>
    </row>
    <row r="278">
      <c r="A278" s="5" t="s">
        <v>284</v>
      </c>
      <c r="B278" s="7" t="str">
        <f t="shared" si="1"/>
        <v>OK</v>
      </c>
      <c r="C278" s="6" t="s">
        <v>314</v>
      </c>
      <c r="E278" s="7" t="str">
        <f t="shared" si="2"/>
        <v>OK</v>
      </c>
      <c r="G278" s="6" t="s">
        <v>314</v>
      </c>
      <c r="H278" s="7" t="str">
        <f t="shared" si="3"/>
        <v>OK</v>
      </c>
      <c r="I278" s="7" t="str">
        <f t="array" ref="I278">XLOOKUP(G278,Label!$A$2:$A$309, Label!$B$2:$B$309)</f>
        <v>Layout Changed</v>
      </c>
      <c r="J278" s="7" t="str">
        <f t="array" ref="J278">XLOOKUP(G278,Label!$A$2:$A$309, Label!$C$2:$C$309)</f>
        <v/>
      </c>
    </row>
    <row r="279">
      <c r="A279" s="5" t="s">
        <v>285</v>
      </c>
      <c r="B279" s="7" t="str">
        <f t="shared" si="1"/>
        <v>OK</v>
      </c>
      <c r="C279" s="6" t="s">
        <v>315</v>
      </c>
      <c r="E279" s="7" t="str">
        <f t="shared" si="2"/>
        <v>OK</v>
      </c>
      <c r="G279" s="6" t="s">
        <v>315</v>
      </c>
      <c r="H279" s="7" t="str">
        <f t="shared" si="3"/>
        <v>OK</v>
      </c>
      <c r="I279" s="7" t="str">
        <f t="array" ref="I279">XLOOKUP(G279,Label!$A$2:$A$309, Label!$B$2:$B$309)</f>
        <v>Layout Shifted</v>
      </c>
      <c r="J279" s="7" t="str">
        <f t="array" ref="J279">XLOOKUP(G279,Label!$A$2:$A$309, Label!$C$2:$C$309)</f>
        <v/>
      </c>
    </row>
    <row r="280">
      <c r="A280" s="5" t="s">
        <v>286</v>
      </c>
      <c r="B280" s="7" t="str">
        <f t="shared" si="1"/>
        <v>OK</v>
      </c>
      <c r="C280" s="6" t="s">
        <v>316</v>
      </c>
      <c r="E280" s="7" t="str">
        <f t="shared" si="2"/>
        <v>duplicate</v>
      </c>
      <c r="G280" s="6" t="s">
        <v>316</v>
      </c>
      <c r="H280" s="7" t="str">
        <f t="shared" si="3"/>
        <v>duplicate</v>
      </c>
      <c r="I280" s="7" t="str">
        <f t="array" ref="I280">XLOOKUP(G280,Label!$A$2:$A$309, Label!$B$2:$B$309)</f>
        <v>New Contents</v>
      </c>
      <c r="J280" s="7" t="str">
        <f t="array" ref="J280">XLOOKUP(G280,Label!$A$2:$A$309, Label!$C$2:$C$309)</f>
        <v/>
      </c>
    </row>
    <row r="281">
      <c r="A281" s="5" t="s">
        <v>287</v>
      </c>
      <c r="B281" s="7" t="str">
        <f t="shared" si="1"/>
        <v>OK</v>
      </c>
      <c r="C281" s="6" t="s">
        <v>317</v>
      </c>
      <c r="E281" s="7" t="str">
        <f t="shared" si="2"/>
        <v>OK</v>
      </c>
      <c r="G281" s="6" t="s">
        <v>317</v>
      </c>
      <c r="H281" s="7" t="str">
        <f t="shared" si="3"/>
        <v>OK</v>
      </c>
      <c r="I281" s="7" t="str">
        <f t="array" ref="I281">XLOOKUP(G281,Label!$A$2:$A$309, Label!$B$2:$B$309)</f>
        <v>OutOfScope: New Story</v>
      </c>
      <c r="J281" s="7" t="str">
        <f t="array" ref="J281">XLOOKUP(G281,Label!$A$2:$A$309, Label!$C$2:$C$309)</f>
        <v/>
      </c>
    </row>
    <row r="282">
      <c r="A282" s="5" t="s">
        <v>288</v>
      </c>
      <c r="B282" s="7" t="str">
        <f t="shared" si="1"/>
        <v>OK</v>
      </c>
      <c r="C282" s="6" t="s">
        <v>318</v>
      </c>
      <c r="E282" s="7" t="str">
        <f t="shared" si="2"/>
        <v>OK</v>
      </c>
      <c r="G282" s="6" t="s">
        <v>318</v>
      </c>
      <c r="H282" s="7" t="str">
        <f t="shared" si="3"/>
        <v>OK</v>
      </c>
      <c r="I282" s="7" t="str">
        <f t="array" ref="I282">XLOOKUP(G282,Label!$A$2:$A$309, Label!$B$2:$B$309)</f>
        <v>OutOfScope: New Story</v>
      </c>
      <c r="J282" s="7" t="str">
        <f t="array" ref="J282">XLOOKUP(G282,Label!$A$2:$A$309, Label!$C$2:$C$309)</f>
        <v/>
      </c>
    </row>
    <row r="283">
      <c r="A283" s="5" t="s">
        <v>289</v>
      </c>
      <c r="B283" s="7" t="str">
        <f t="shared" si="1"/>
        <v>OK</v>
      </c>
      <c r="C283" s="6" t="s">
        <v>319</v>
      </c>
      <c r="E283" s="7" t="str">
        <f t="shared" si="2"/>
        <v>OK</v>
      </c>
      <c r="G283" s="6" t="s">
        <v>319</v>
      </c>
      <c r="H283" s="7" t="str">
        <f t="shared" si="3"/>
        <v>OK</v>
      </c>
      <c r="I283" s="7" t="str">
        <f t="array" ref="I283">XLOOKUP(G283,Label!$A$2:$A$309, Label!$B$2:$B$309)</f>
        <v>Box Shape Changed</v>
      </c>
      <c r="J283" s="7" t="str">
        <f t="array" ref="J283">XLOOKUP(G283,Label!$A$2:$A$309, Label!$C$2:$C$309)</f>
        <v/>
      </c>
    </row>
    <row r="284">
      <c r="A284" s="5" t="s">
        <v>290</v>
      </c>
      <c r="B284" s="7" t="str">
        <f t="shared" si="1"/>
        <v>OK</v>
      </c>
      <c r="C284" s="6" t="s">
        <v>320</v>
      </c>
      <c r="E284" s="7" t="str">
        <f t="shared" si="2"/>
        <v>OK</v>
      </c>
      <c r="G284" s="6" t="s">
        <v>320</v>
      </c>
      <c r="H284" s="7" t="str">
        <f t="shared" si="3"/>
        <v>OK</v>
      </c>
      <c r="I284" s="7" t="str">
        <f t="array" ref="I284">XLOOKUP(G284,Label!$A$2:$A$309, Label!$B$2:$B$309)</f>
        <v>Layout Shifted</v>
      </c>
      <c r="J284" s="7" t="str">
        <f t="array" ref="J284">XLOOKUP(G284,Label!$A$2:$A$309, Label!$C$2:$C$309)</f>
        <v/>
      </c>
    </row>
    <row r="285">
      <c r="A285" s="5" t="s">
        <v>291</v>
      </c>
      <c r="B285" s="7" t="str">
        <f t="shared" si="1"/>
        <v>OK</v>
      </c>
      <c r="C285" s="6" t="s">
        <v>321</v>
      </c>
      <c r="E285" s="7" t="str">
        <f t="shared" si="2"/>
        <v>OK</v>
      </c>
      <c r="G285" s="6" t="s">
        <v>321</v>
      </c>
      <c r="H285" s="7" t="str">
        <f t="shared" si="3"/>
        <v>OK</v>
      </c>
      <c r="I285" s="7" t="str">
        <f t="array" ref="I285">XLOOKUP(G285,Label!$A$2:$A$309, Label!$B$2:$B$309)</f>
        <v>Layout Changed</v>
      </c>
      <c r="J285" s="7" t="str">
        <f t="array" ref="J285">XLOOKUP(G285,Label!$A$2:$A$309, Label!$C$2:$C$309)</f>
        <v/>
      </c>
    </row>
    <row r="286">
      <c r="A286" s="5" t="s">
        <v>292</v>
      </c>
      <c r="B286" s="7" t="str">
        <f t="shared" si="1"/>
        <v>OK</v>
      </c>
      <c r="C286" s="6" t="s">
        <v>322</v>
      </c>
      <c r="E286" s="7" t="str">
        <f t="shared" si="2"/>
        <v>OK</v>
      </c>
      <c r="G286" s="6" t="s">
        <v>322</v>
      </c>
      <c r="H286" s="7" t="str">
        <f t="shared" si="3"/>
        <v>OK</v>
      </c>
      <c r="I286" s="7" t="str">
        <f t="array" ref="I286">XLOOKUP(G286,Label!$A$2:$A$309, Label!$B$2:$B$309)</f>
        <v>OutOfScope: Chromatic Error</v>
      </c>
      <c r="J286" s="7" t="str">
        <f t="array" ref="J286">XLOOKUP(G286,Label!$A$2:$A$309, Label!$C$2:$C$309)</f>
        <v/>
      </c>
    </row>
    <row r="287">
      <c r="A287" s="5" t="s">
        <v>293</v>
      </c>
      <c r="B287" s="7" t="str">
        <f t="shared" si="1"/>
        <v>OK</v>
      </c>
      <c r="C287" s="6" t="s">
        <v>323</v>
      </c>
      <c r="E287" s="7" t="str">
        <f t="shared" si="2"/>
        <v>OK</v>
      </c>
      <c r="G287" s="6" t="s">
        <v>323</v>
      </c>
      <c r="H287" s="7" t="str">
        <f t="shared" si="3"/>
        <v>OK</v>
      </c>
      <c r="I287" s="7" t="str">
        <f t="array" ref="I287">XLOOKUP(G287,Label!$A$2:$A$309, Label!$B$2:$B$309)</f>
        <v>Size of Page/Header Changed</v>
      </c>
      <c r="J287" s="7" t="str">
        <f t="array" ref="J287">XLOOKUP(G287,Label!$A$2:$A$309, Label!$C$2:$C$309)</f>
        <v/>
      </c>
    </row>
    <row r="288">
      <c r="A288" s="5" t="s">
        <v>294</v>
      </c>
      <c r="B288" s="7" t="str">
        <f t="shared" si="1"/>
        <v>OK</v>
      </c>
      <c r="C288" s="6" t="s">
        <v>324</v>
      </c>
      <c r="E288" s="7" t="str">
        <f t="shared" si="2"/>
        <v>OK</v>
      </c>
      <c r="G288" s="6" t="s">
        <v>324</v>
      </c>
      <c r="H288" s="7" t="str">
        <f t="shared" si="3"/>
        <v>OK</v>
      </c>
      <c r="I288" s="7" t="str">
        <f t="array" ref="I288">XLOOKUP(G288,Label!$A$2:$A$309, Label!$B$2:$B$309)</f>
        <v>Layout Shifted</v>
      </c>
      <c r="J288" s="7" t="str">
        <f t="array" ref="J288">XLOOKUP(G288,Label!$A$2:$A$309, Label!$C$2:$C$309)</f>
        <v/>
      </c>
    </row>
    <row r="289">
      <c r="A289" s="5" t="s">
        <v>295</v>
      </c>
      <c r="B289" s="7" t="str">
        <f t="shared" si="1"/>
        <v>OK</v>
      </c>
      <c r="C289" s="6" t="s">
        <v>325</v>
      </c>
      <c r="E289" s="7" t="str">
        <f t="shared" si="2"/>
        <v>OK</v>
      </c>
      <c r="G289" s="6" t="s">
        <v>325</v>
      </c>
      <c r="H289" s="7" t="str">
        <f t="shared" si="3"/>
        <v>OK</v>
      </c>
      <c r="I289" s="7" t="str">
        <f t="array" ref="I289">XLOOKUP(G289,Label!$A$2:$A$309, Label!$B$2:$B$309)</f>
        <v>Box Disappeared</v>
      </c>
      <c r="J289" s="7" t="str">
        <f t="array" ref="J289">XLOOKUP(G289,Label!$A$2:$A$309, Label!$C$2:$C$309)</f>
        <v/>
      </c>
    </row>
    <row r="290">
      <c r="A290" s="5" t="s">
        <v>296</v>
      </c>
      <c r="B290" s="7" t="str">
        <f t="shared" si="1"/>
        <v>OK</v>
      </c>
      <c r="C290" s="6" t="s">
        <v>326</v>
      </c>
      <c r="E290" s="7" t="str">
        <f t="shared" si="2"/>
        <v>OK</v>
      </c>
      <c r="G290" s="6" t="s">
        <v>326</v>
      </c>
      <c r="H290" s="7" t="str">
        <f t="shared" si="3"/>
        <v>OK</v>
      </c>
      <c r="I290" s="7" t="str">
        <f t="array" ref="I290">XLOOKUP(G290,Label!$A$2:$A$309, Label!$B$2:$B$309)</f>
        <v>OutOfScope: Duplicates</v>
      </c>
      <c r="J290" s="7" t="str">
        <f t="array" ref="J290">XLOOKUP(G290,Label!$A$2:$A$309, Label!$C$2:$C$309)</f>
        <v/>
      </c>
    </row>
    <row r="291">
      <c r="A291" s="5" t="s">
        <v>297</v>
      </c>
      <c r="B291" s="7" t="str">
        <f t="shared" si="1"/>
        <v>OK</v>
      </c>
      <c r="C291" s="6" t="s">
        <v>327</v>
      </c>
      <c r="E291" s="7" t="str">
        <f t="shared" si="2"/>
        <v>OK</v>
      </c>
      <c r="G291" s="6" t="s">
        <v>327</v>
      </c>
      <c r="H291" s="7" t="str">
        <f t="shared" si="3"/>
        <v>OK</v>
      </c>
      <c r="I291" s="7" t="str">
        <f t="array" ref="I291">XLOOKUP(G291,Label!$A$2:$A$309, Label!$B$2:$B$309)</f>
        <v>Layout Shifted</v>
      </c>
      <c r="J291" s="7" t="str">
        <f t="array" ref="J291">XLOOKUP(G291,Label!$A$2:$A$309, Label!$C$2:$C$309)</f>
        <v/>
      </c>
    </row>
    <row r="292">
      <c r="A292" s="5" t="s">
        <v>298</v>
      </c>
      <c r="B292" s="7" t="str">
        <f t="shared" si="1"/>
        <v>OK</v>
      </c>
      <c r="C292" s="6" t="s">
        <v>328</v>
      </c>
      <c r="E292" s="7" t="str">
        <f t="shared" si="2"/>
        <v>OK</v>
      </c>
      <c r="G292" s="6" t="s">
        <v>328</v>
      </c>
      <c r="H292" s="7" t="str">
        <f t="shared" si="3"/>
        <v>OK</v>
      </c>
      <c r="I292" s="7" t="str">
        <f t="array" ref="I292">XLOOKUP(G292,Label!$A$2:$A$309, Label!$B$2:$B$309)</f>
        <v>OutOfScope: New Story</v>
      </c>
      <c r="J292" s="7" t="str">
        <f t="array" ref="J292">XLOOKUP(G292,Label!$A$2:$A$309, Label!$C$2:$C$309)</f>
        <v/>
      </c>
    </row>
    <row r="293">
      <c r="A293" s="5" t="s">
        <v>299</v>
      </c>
      <c r="B293" s="7" t="str">
        <f t="shared" si="1"/>
        <v>OK</v>
      </c>
      <c r="C293" s="6" t="s">
        <v>329</v>
      </c>
      <c r="E293" s="7" t="str">
        <f t="shared" si="2"/>
        <v>OK</v>
      </c>
      <c r="G293" s="6" t="s">
        <v>329</v>
      </c>
      <c r="H293" s="7" t="str">
        <f t="shared" si="3"/>
        <v>OK</v>
      </c>
      <c r="I293" s="7" t="str">
        <f t="array" ref="I293">XLOOKUP(G293,Label!$A$2:$A$309, Label!$B$2:$B$309)</f>
        <v>Border Disappeared</v>
      </c>
      <c r="J293" s="7" t="str">
        <f t="array" ref="J293">XLOOKUP(G293,Label!$A$2:$A$309, Label!$C$2:$C$309)</f>
        <v/>
      </c>
    </row>
    <row r="294">
      <c r="A294" s="5" t="s">
        <v>300</v>
      </c>
      <c r="B294" s="7" t="str">
        <f t="shared" si="1"/>
        <v>OK</v>
      </c>
      <c r="C294" s="6" t="s">
        <v>330</v>
      </c>
      <c r="E294" s="7" t="str">
        <f t="shared" si="2"/>
        <v>OK</v>
      </c>
      <c r="G294" s="6" t="s">
        <v>330</v>
      </c>
      <c r="H294" s="7" t="str">
        <f t="shared" si="3"/>
        <v>OK</v>
      </c>
      <c r="I294" s="7" t="str">
        <f t="array" ref="I294">XLOOKUP(G294,Label!$A$2:$A$309, Label!$B$2:$B$309)</f>
        <v>No or Few Visual Diffrences Detected</v>
      </c>
      <c r="J294" s="7" t="str">
        <f t="array" ref="J294">XLOOKUP(G294,Label!$A$2:$A$309, Label!$C$2:$C$309)</f>
        <v/>
      </c>
    </row>
    <row r="295">
      <c r="A295" s="5" t="s">
        <v>301</v>
      </c>
      <c r="B295" s="7" t="str">
        <f t="shared" si="1"/>
        <v>OK</v>
      </c>
      <c r="C295" s="6" t="s">
        <v>331</v>
      </c>
      <c r="E295" s="7" t="str">
        <f t="shared" si="2"/>
        <v>OK</v>
      </c>
      <c r="G295" s="6" t="s">
        <v>331</v>
      </c>
      <c r="H295" s="7" t="str">
        <f t="shared" si="3"/>
        <v>OK</v>
      </c>
      <c r="I295" s="7" t="str">
        <f t="array" ref="I295">XLOOKUP(G295,Label!$A$2:$A$309, Label!$B$2:$B$309)</f>
        <v>OutOfScope: New Story</v>
      </c>
      <c r="J295" s="7" t="str">
        <f t="array" ref="J295">XLOOKUP(G295,Label!$A$2:$A$309, Label!$C$2:$C$309)</f>
        <v/>
      </c>
    </row>
    <row r="296">
      <c r="A296" s="5" t="s">
        <v>302</v>
      </c>
      <c r="B296" s="7" t="str">
        <f t="shared" si="1"/>
        <v>OK</v>
      </c>
      <c r="C296" s="6" t="s">
        <v>332</v>
      </c>
      <c r="E296" s="7" t="str">
        <f t="shared" si="2"/>
        <v>OK</v>
      </c>
      <c r="G296" s="6" t="s">
        <v>332</v>
      </c>
      <c r="H296" s="7" t="str">
        <f t="shared" si="3"/>
        <v>OK</v>
      </c>
      <c r="I296" s="7" t="str">
        <f t="array" ref="I296">XLOOKUP(G296,Label!$A$2:$A$309, Label!$B$2:$B$309)</f>
        <v>Size of Page/Header Changed</v>
      </c>
      <c r="J296" s="7" t="str">
        <f t="array" ref="J296">XLOOKUP(G296,Label!$A$2:$A$309, Label!$C$2:$C$309)</f>
        <v/>
      </c>
    </row>
    <row r="297">
      <c r="A297" s="5" t="s">
        <v>303</v>
      </c>
      <c r="B297" s="7" t="str">
        <f t="shared" si="1"/>
        <v>OK</v>
      </c>
      <c r="C297" s="6" t="s">
        <v>333</v>
      </c>
      <c r="E297" s="7" t="str">
        <f t="shared" si="2"/>
        <v>OK</v>
      </c>
      <c r="G297" s="6" t="s">
        <v>333</v>
      </c>
      <c r="H297" s="7" t="str">
        <f t="shared" si="3"/>
        <v>OK</v>
      </c>
      <c r="I297" s="7" t="str">
        <f t="array" ref="I297">XLOOKUP(G297,Label!$A$2:$A$309, Label!$B$2:$B$309)</f>
        <v>OutOfScope: New Story</v>
      </c>
      <c r="J297" s="7" t="str">
        <f t="array" ref="J297">XLOOKUP(G297,Label!$A$2:$A$309, Label!$C$2:$C$309)</f>
        <v/>
      </c>
    </row>
    <row r="298">
      <c r="A298" s="5" t="s">
        <v>304</v>
      </c>
      <c r="B298" s="7" t="str">
        <f t="shared" si="1"/>
        <v>OK</v>
      </c>
      <c r="C298" s="6" t="s">
        <v>334</v>
      </c>
      <c r="E298" s="7" t="str">
        <f t="shared" si="2"/>
        <v>OK</v>
      </c>
      <c r="G298" s="6" t="s">
        <v>334</v>
      </c>
      <c r="H298" s="7" t="str">
        <f t="shared" si="3"/>
        <v>OK</v>
      </c>
      <c r="I298" s="7" t="str">
        <f t="array" ref="I298">XLOOKUP(G298,Label!$A$2:$A$309, Label!$B$2:$B$309)</f>
        <v>Undefined/Wrong State is Shown</v>
      </c>
      <c r="J298" s="7" t="str">
        <f t="array" ref="J298">XLOOKUP(G298,Label!$A$2:$A$309, Label!$C$2:$C$309)</f>
        <v/>
      </c>
    </row>
    <row r="299">
      <c r="A299" s="5" t="s">
        <v>305</v>
      </c>
      <c r="B299" s="7" t="str">
        <f t="shared" si="1"/>
        <v>OK</v>
      </c>
      <c r="C299" s="6" t="s">
        <v>335</v>
      </c>
      <c r="E299" s="7" t="str">
        <f t="shared" si="2"/>
        <v>OK</v>
      </c>
      <c r="G299" s="6" t="s">
        <v>335</v>
      </c>
      <c r="H299" s="7" t="str">
        <f t="shared" si="3"/>
        <v>OK</v>
      </c>
      <c r="I299" s="7" t="str">
        <f t="array" ref="I299">XLOOKUP(G299,Label!$A$2:$A$309, Label!$B$2:$B$309)</f>
        <v>OutOfScope: New Story</v>
      </c>
      <c r="J299" s="7" t="str">
        <f t="array" ref="J299">XLOOKUP(G299,Label!$A$2:$A$309, Label!$C$2:$C$309)</f>
        <v/>
      </c>
    </row>
    <row r="300">
      <c r="A300" s="5" t="s">
        <v>306</v>
      </c>
      <c r="B300" s="7" t="str">
        <f t="shared" si="1"/>
        <v>OK</v>
      </c>
      <c r="C300" s="6" t="s">
        <v>336</v>
      </c>
      <c r="E300" s="7" t="str">
        <f t="shared" si="2"/>
        <v>OK</v>
      </c>
      <c r="G300" s="6" t="s">
        <v>336</v>
      </c>
      <c r="H300" s="7" t="str">
        <f t="shared" si="3"/>
        <v>OK</v>
      </c>
      <c r="I300" s="7" t="str">
        <f t="array" ref="I300">XLOOKUP(G300,Label!$A$2:$A$309, Label!$B$2:$B$309)</f>
        <v>No or Few Visual Diffrences Detected</v>
      </c>
      <c r="J300" s="7" t="str">
        <f t="array" ref="J300">XLOOKUP(G300,Label!$A$2:$A$309, Label!$C$2:$C$309)</f>
        <v/>
      </c>
    </row>
    <row r="301">
      <c r="A301" s="5" t="s">
        <v>307</v>
      </c>
      <c r="B301" s="7" t="str">
        <f t="shared" si="1"/>
        <v>OK</v>
      </c>
      <c r="C301" s="6" t="s">
        <v>337</v>
      </c>
      <c r="E301" s="7" t="str">
        <f t="shared" si="2"/>
        <v>OK</v>
      </c>
      <c r="G301" s="6" t="s">
        <v>337</v>
      </c>
      <c r="H301" s="7" t="str">
        <f t="shared" si="3"/>
        <v>OK</v>
      </c>
      <c r="I301" s="7" t="str">
        <f t="array" ref="I301">XLOOKUP(G301,Label!$A$2:$A$309, Label!$B$2:$B$309)</f>
        <v>New Buttons</v>
      </c>
      <c r="J301" s="7" t="str">
        <f t="array" ref="J301">XLOOKUP(G301,Label!$A$2:$A$309, Label!$C$2:$C$309)</f>
        <v/>
      </c>
    </row>
    <row r="302">
      <c r="A302" s="5" t="s">
        <v>308</v>
      </c>
      <c r="B302" s="7" t="str">
        <f t="shared" si="1"/>
        <v>OK</v>
      </c>
      <c r="C302" s="6" t="s">
        <v>338</v>
      </c>
      <c r="E302" s="7" t="str">
        <f t="shared" si="2"/>
        <v>OK</v>
      </c>
      <c r="G302" s="6" t="s">
        <v>338</v>
      </c>
      <c r="H302" s="7" t="str">
        <f t="shared" si="3"/>
        <v>OK</v>
      </c>
      <c r="I302" s="7" t="str">
        <f t="array" ref="I302">XLOOKUP(G302,Label!$A$2:$A$309, Label!$B$2:$B$309)</f>
        <v>Layout Changed</v>
      </c>
      <c r="J302" s="7" t="str">
        <f t="array" ref="J302">XLOOKUP(G302,Label!$A$2:$A$309, Label!$C$2:$C$309)</f>
        <v/>
      </c>
    </row>
    <row r="303">
      <c r="A303" s="5" t="s">
        <v>309</v>
      </c>
      <c r="B303" s="7" t="str">
        <f t="shared" si="1"/>
        <v>OK</v>
      </c>
      <c r="C303" s="6" t="s">
        <v>339</v>
      </c>
      <c r="E303" s="7" t="str">
        <f t="shared" si="2"/>
        <v>OK</v>
      </c>
      <c r="G303" s="6" t="s">
        <v>339</v>
      </c>
      <c r="H303" s="7" t="str">
        <f t="shared" si="3"/>
        <v>OK</v>
      </c>
      <c r="I303" s="7" t="str">
        <f t="array" ref="I303">XLOOKUP(G303,Label!$A$2:$A$309, Label!$B$2:$B$309)</f>
        <v>Text Disappeared</v>
      </c>
      <c r="J303" s="7" t="str">
        <f t="array" ref="J303">XLOOKUP(G303,Label!$A$2:$A$309, Label!$C$2:$C$309)</f>
        <v/>
      </c>
    </row>
    <row r="304">
      <c r="A304" s="5" t="s">
        <v>310</v>
      </c>
      <c r="B304" s="7" t="str">
        <f t="shared" si="1"/>
        <v>OK</v>
      </c>
      <c r="C304" s="6" t="s">
        <v>340</v>
      </c>
      <c r="E304" s="7" t="str">
        <f t="shared" si="2"/>
        <v>OK</v>
      </c>
      <c r="G304" s="6" t="s">
        <v>340</v>
      </c>
      <c r="H304" s="7" t="str">
        <f t="shared" si="3"/>
        <v>OK</v>
      </c>
      <c r="I304" s="7" t="str">
        <f t="array" ref="I304">XLOOKUP(G304,Label!$A$2:$A$309, Label!$B$2:$B$309)</f>
        <v>OutOfScope: Cannot access</v>
      </c>
      <c r="J304" s="7" t="str">
        <f t="array" ref="J304">XLOOKUP(G304,Label!$A$2:$A$309, Label!$C$2:$C$309)</f>
        <v/>
      </c>
    </row>
    <row r="305">
      <c r="A305" s="5" t="s">
        <v>311</v>
      </c>
      <c r="B305" s="7" t="str">
        <f t="shared" si="1"/>
        <v>OK</v>
      </c>
      <c r="C305" s="6" t="s">
        <v>341</v>
      </c>
      <c r="E305" s="7" t="str">
        <f t="shared" si="2"/>
        <v>OK</v>
      </c>
      <c r="G305" s="6" t="s">
        <v>341</v>
      </c>
      <c r="H305" s="7" t="str">
        <f t="shared" si="3"/>
        <v>OK</v>
      </c>
      <c r="I305" s="7" t="str">
        <f t="array" ref="I305">XLOOKUP(G305,Label!$A$2:$A$309, Label!$B$2:$B$309)</f>
        <v>Contents Disappeared</v>
      </c>
      <c r="J305" s="7" t="str">
        <f t="array" ref="J305">XLOOKUP(G305,Label!$A$2:$A$309, Label!$C$2:$C$309)</f>
        <v/>
      </c>
    </row>
    <row r="306">
      <c r="A306" s="5" t="s">
        <v>312</v>
      </c>
      <c r="B306" s="7" t="str">
        <f t="shared" si="1"/>
        <v>OK</v>
      </c>
      <c r="C306" s="6" t="s">
        <v>342</v>
      </c>
      <c r="E306" s="7" t="str">
        <f t="shared" si="2"/>
        <v>OK</v>
      </c>
      <c r="G306" s="6" t="s">
        <v>342</v>
      </c>
      <c r="H306" s="7" t="str">
        <f t="shared" si="3"/>
        <v>OK</v>
      </c>
      <c r="I306" s="7" t="str">
        <f t="array" ref="I306">XLOOKUP(G306,Label!$A$2:$A$309, Label!$B$2:$B$309)</f>
        <v>Box Size Changed</v>
      </c>
      <c r="J306" s="7" t="str">
        <f t="array" ref="J306">XLOOKUP(G306,Label!$A$2:$A$309, Label!$C$2:$C$309)</f>
        <v/>
      </c>
    </row>
    <row r="307">
      <c r="A307" s="5" t="s">
        <v>313</v>
      </c>
      <c r="B307" s="7" t="str">
        <f t="shared" si="1"/>
        <v>OK</v>
      </c>
      <c r="C307" s="6" t="s">
        <v>343</v>
      </c>
      <c r="E307" s="7" t="str">
        <f t="shared" si="2"/>
        <v>OK</v>
      </c>
      <c r="G307" s="3" t="s">
        <v>343</v>
      </c>
      <c r="H307" s="7" t="str">
        <f t="shared" si="3"/>
        <v>OK</v>
      </c>
      <c r="I307" s="7" t="str">
        <f t="array" ref="I307">XLOOKUP(G307,Label!$A$2:$A$309, Label!$B$2:$B$309)</f>
        <v>OutOfScope: New Story</v>
      </c>
      <c r="J307" s="7" t="str">
        <f t="array" ref="J307">XLOOKUP(G307,Label!$A$2:$A$309, Label!$C$2:$C$309)</f>
        <v/>
      </c>
    </row>
    <row r="308">
      <c r="A308" s="5" t="s">
        <v>314</v>
      </c>
      <c r="B308" s="7" t="str">
        <f t="shared" si="1"/>
        <v>OK</v>
      </c>
      <c r="C308" s="6" t="s">
        <v>344</v>
      </c>
      <c r="E308" s="7" t="str">
        <f t="shared" si="2"/>
        <v>OK</v>
      </c>
      <c r="G308" s="6" t="s">
        <v>344</v>
      </c>
      <c r="H308" s="7" t="str">
        <f t="shared" si="3"/>
        <v>OK</v>
      </c>
      <c r="I308" s="7" t="str">
        <f t="array" ref="I308">XLOOKUP(G308,Label!$A$2:$A$309, Label!$B$2:$B$309)</f>
        <v>OutOfScope: Duplicates</v>
      </c>
      <c r="J308" s="7" t="str">
        <f t="array" ref="J308">XLOOKUP(G308,Label!$A$2:$A$309, Label!$C$2:$C$309)</f>
        <v/>
      </c>
    </row>
    <row r="309">
      <c r="A309" s="5" t="s">
        <v>315</v>
      </c>
      <c r="B309" s="7" t="str">
        <f t="shared" si="1"/>
        <v>OK</v>
      </c>
      <c r="C309" s="6" t="s">
        <v>379</v>
      </c>
      <c r="E309" s="7" t="str">
        <f t="shared" si="2"/>
        <v>OK</v>
      </c>
      <c r="G309" s="3" t="s">
        <v>191</v>
      </c>
      <c r="H309" s="7" t="str">
        <f t="shared" si="3"/>
        <v>OK</v>
      </c>
      <c r="I309" s="7" t="str">
        <f t="array" ref="I309">XLOOKUP(G309,Label!$A$2:$A$309, Label!$B$2:$B$309)</f>
        <v>OutOfScope: New Story</v>
      </c>
      <c r="J309" s="7" t="str">
        <f t="array" ref="J309">XLOOKUP(G309,Label!$A$2:$A$309, Label!$C$2:$C$309)</f>
        <v/>
      </c>
    </row>
    <row r="310">
      <c r="A310" s="5" t="s">
        <v>316</v>
      </c>
      <c r="B310" s="7" t="str">
        <f t="shared" si="1"/>
        <v>OK</v>
      </c>
      <c r="C310" s="6" t="s">
        <v>380</v>
      </c>
      <c r="E310" s="7" t="str">
        <f t="shared" si="2"/>
        <v>OK</v>
      </c>
      <c r="G310" s="6" t="s">
        <v>192</v>
      </c>
      <c r="H310" s="7" t="str">
        <f t="shared" si="3"/>
        <v>OK</v>
      </c>
      <c r="I310" s="7" t="str">
        <f t="array" ref="I310">XLOOKUP(G310,Label!$A$2:$A$309, Label!$B$2:$B$309)</f>
        <v>Layout Shifted</v>
      </c>
      <c r="J310" s="7" t="str">
        <f t="array" ref="J310">XLOOKUP(G310,Label!$A$2:$A$309, Label!$C$2:$C$309)</f>
        <v/>
      </c>
    </row>
    <row r="311">
      <c r="A311" s="5" t="s">
        <v>409</v>
      </c>
      <c r="B311" s="7" t="str">
        <f t="shared" si="1"/>
        <v>no</v>
      </c>
      <c r="C311" s="6" t="s">
        <v>381</v>
      </c>
      <c r="E311" s="7" t="str">
        <f t="shared" si="2"/>
        <v>OK</v>
      </c>
      <c r="G311" s="6" t="s">
        <v>345</v>
      </c>
      <c r="H311" s="7" t="str">
        <f t="shared" si="3"/>
        <v>no</v>
      </c>
      <c r="I311" s="7" t="str">
        <f t="array" ref="I311">XLOOKUP(G311,Conflict!$A$2:$A$35,Conflict!$I$2:$I$35)</f>
        <v>OutOfScope: Not VRT Discussion</v>
      </c>
      <c r="J311" s="7" t="str">
        <f t="array" ref="J311">XLOOKUP(G311,Conflict!$A$2:$A$35,Conflict!$J$2:$J$35)</f>
        <v/>
      </c>
    </row>
    <row r="312">
      <c r="A312" s="5" t="s">
        <v>316</v>
      </c>
      <c r="B312" s="7" t="str">
        <f t="shared" si="1"/>
        <v>OK</v>
      </c>
      <c r="C312" s="6" t="s">
        <v>382</v>
      </c>
      <c r="E312" s="7" t="str">
        <f t="shared" si="2"/>
        <v>OK</v>
      </c>
      <c r="G312" s="6" t="s">
        <v>346</v>
      </c>
      <c r="H312" s="7" t="str">
        <f t="shared" si="3"/>
        <v>no</v>
      </c>
      <c r="I312" s="7" t="str">
        <f t="array" ref="I312">XLOOKUP(G312,Conflict!$A$2:$A$35,Conflict!$I$2:$I$35)</f>
        <v>OutOfScope: Duplicates</v>
      </c>
      <c r="J312" s="7" t="str">
        <f t="array" ref="J312">XLOOKUP(G312,Conflict!$A$2:$A$35,Conflict!$J$2:$J$35)</f>
        <v/>
      </c>
    </row>
    <row r="313">
      <c r="A313" s="5" t="s">
        <v>317</v>
      </c>
      <c r="B313" s="7" t="str">
        <f t="shared" si="1"/>
        <v>OK</v>
      </c>
      <c r="C313" s="6" t="s">
        <v>383</v>
      </c>
      <c r="E313" s="7" t="str">
        <f t="shared" si="2"/>
        <v>OK</v>
      </c>
      <c r="G313" s="6" t="s">
        <v>347</v>
      </c>
      <c r="H313" s="7" t="str">
        <f t="shared" si="3"/>
        <v>no</v>
      </c>
      <c r="I313" s="7" t="str">
        <f t="array" ref="I313">XLOOKUP(G313,Conflict!$A$2:$A$35,Conflict!$I$2:$I$35)</f>
        <v>OutOfScope: Duplicates</v>
      </c>
      <c r="J313" s="7" t="str">
        <f t="array" ref="J313">XLOOKUP(G313,Conflict!$A$2:$A$35,Conflict!$J$2:$J$35)</f>
        <v/>
      </c>
    </row>
    <row r="314">
      <c r="A314" s="5" t="s">
        <v>318</v>
      </c>
      <c r="B314" s="7" t="str">
        <f t="shared" si="1"/>
        <v>OK</v>
      </c>
      <c r="C314" s="6" t="s">
        <v>384</v>
      </c>
      <c r="E314" s="7" t="str">
        <f t="shared" si="2"/>
        <v>OK</v>
      </c>
      <c r="G314" s="6" t="s">
        <v>348</v>
      </c>
      <c r="H314" s="7" t="str">
        <f t="shared" si="3"/>
        <v>no</v>
      </c>
      <c r="I314" s="7" t="str">
        <f t="array" ref="I314">XLOOKUP(G314,Conflict!$A$2:$A$35,Conflict!$I$2:$I$35)</f>
        <v>Box Size Changed</v>
      </c>
      <c r="J314" s="7" t="str">
        <f t="array" ref="J314">XLOOKUP(G314,Conflict!$A$2:$A$35,Conflict!$J$2:$J$35)</f>
        <v/>
      </c>
    </row>
    <row r="315">
      <c r="A315" s="5" t="s">
        <v>319</v>
      </c>
      <c r="B315" s="7" t="str">
        <f t="shared" si="1"/>
        <v>OK</v>
      </c>
      <c r="C315" s="6" t="s">
        <v>385</v>
      </c>
      <c r="E315" s="7" t="str">
        <f t="shared" si="2"/>
        <v>OK</v>
      </c>
      <c r="G315" s="6" t="s">
        <v>349</v>
      </c>
      <c r="H315" s="7" t="str">
        <f t="shared" si="3"/>
        <v>no</v>
      </c>
      <c r="I315" s="7" t="str">
        <f t="array" ref="I315">XLOOKUP(G315,Conflict!$A$2:$A$35,Conflict!$I$2:$I$35)</f>
        <v>OutOfScope: New Story</v>
      </c>
      <c r="J315" s="7" t="str">
        <f t="array" ref="J315">XLOOKUP(G315,Conflict!$A$2:$A$35,Conflict!$J$2:$J$35)</f>
        <v/>
      </c>
    </row>
    <row r="316">
      <c r="A316" s="5" t="s">
        <v>320</v>
      </c>
      <c r="B316" s="7" t="str">
        <f t="shared" si="1"/>
        <v>OK</v>
      </c>
      <c r="C316" s="6" t="s">
        <v>386</v>
      </c>
      <c r="E316" s="7" t="str">
        <f t="shared" si="2"/>
        <v>OK</v>
      </c>
      <c r="G316" s="6" t="s">
        <v>350</v>
      </c>
      <c r="H316" s="7" t="str">
        <f t="shared" si="3"/>
        <v>no</v>
      </c>
      <c r="I316" s="7" t="str">
        <f t="array" ref="I316">XLOOKUP(G316,Conflict!$A$2:$A$35,Conflict!$I$2:$I$35)</f>
        <v>OutOfScope: New Story</v>
      </c>
      <c r="J316" s="7" t="str">
        <f t="array" ref="J316">XLOOKUP(G316,Conflict!$A$2:$A$35,Conflict!$J$2:$J$35)</f>
        <v/>
      </c>
    </row>
    <row r="317">
      <c r="A317" s="5" t="s">
        <v>321</v>
      </c>
      <c r="B317" s="7" t="str">
        <f t="shared" si="1"/>
        <v>OK</v>
      </c>
      <c r="C317" s="6" t="s">
        <v>387</v>
      </c>
      <c r="E317" s="7" t="str">
        <f t="shared" si="2"/>
        <v>OK</v>
      </c>
      <c r="G317" s="6" t="s">
        <v>351</v>
      </c>
      <c r="H317" s="7" t="str">
        <f t="shared" si="3"/>
        <v>no</v>
      </c>
      <c r="I317" s="7" t="str">
        <f t="array" ref="I317">XLOOKUP(G317,Conflict!$A$2:$A$35,Conflict!$I$2:$I$35)</f>
        <v>Contents of Text Changed</v>
      </c>
      <c r="J317" s="7" t="str">
        <f t="array" ref="J317">XLOOKUP(G317,Conflict!$A$2:$A$35,Conflict!$J$2:$J$35)</f>
        <v/>
      </c>
    </row>
    <row r="318">
      <c r="A318" s="5" t="s">
        <v>322</v>
      </c>
      <c r="B318" s="7" t="str">
        <f t="shared" si="1"/>
        <v>OK</v>
      </c>
      <c r="C318" s="6" t="s">
        <v>388</v>
      </c>
      <c r="E318" s="7" t="str">
        <f t="shared" si="2"/>
        <v>OK</v>
      </c>
      <c r="G318" s="3" t="s">
        <v>352</v>
      </c>
      <c r="H318" s="7" t="str">
        <f t="shared" si="3"/>
        <v>no</v>
      </c>
      <c r="I318" s="7" t="str">
        <f t="array" ref="I318">XLOOKUP(G318,Conflict!$A$2:$A$35,Conflict!$I$2:$I$35)</f>
        <v>No or Few Visual Diffrences Detected</v>
      </c>
      <c r="J318" s="7" t="str">
        <f t="array" ref="J318">XLOOKUP(G318,Conflict!$A$2:$A$35,Conflict!$J$2:$J$35)</f>
        <v/>
      </c>
    </row>
    <row r="319">
      <c r="A319" s="5" t="s">
        <v>323</v>
      </c>
      <c r="B319" s="7" t="str">
        <f t="shared" si="1"/>
        <v>OK</v>
      </c>
      <c r="C319" s="6" t="s">
        <v>389</v>
      </c>
      <c r="E319" s="7" t="str">
        <f t="shared" si="2"/>
        <v>OK</v>
      </c>
      <c r="G319" s="6" t="s">
        <v>353</v>
      </c>
      <c r="H319" s="7" t="str">
        <f t="shared" si="3"/>
        <v>no</v>
      </c>
      <c r="I319" s="7" t="str">
        <f t="array" ref="I319">XLOOKUP(G319,Conflict!$A$2:$A$35,Conflict!$I$2:$I$35)</f>
        <v>Border Color Changed</v>
      </c>
      <c r="J319" s="7" t="str">
        <f t="array" ref="J319">XLOOKUP(G319,Conflict!$A$2:$A$35,Conflict!$J$2:$J$35)</f>
        <v/>
      </c>
    </row>
    <row r="320">
      <c r="A320" s="5" t="s">
        <v>324</v>
      </c>
      <c r="B320" s="7" t="str">
        <f t="shared" si="1"/>
        <v>OK</v>
      </c>
      <c r="C320" s="6" t="s">
        <v>390</v>
      </c>
      <c r="E320" s="7" t="str">
        <f t="shared" si="2"/>
        <v>OK</v>
      </c>
      <c r="G320" s="6" t="s">
        <v>354</v>
      </c>
      <c r="H320" s="7" t="str">
        <f t="shared" si="3"/>
        <v>no</v>
      </c>
      <c r="I320" s="7" t="str">
        <f t="array" ref="I320">XLOOKUP(G320,Conflict!$A$2:$A$35,Conflict!$I$2:$I$35)</f>
        <v>OutOfScope: New Story</v>
      </c>
      <c r="J320" s="7" t="str">
        <f t="array" ref="J320">XLOOKUP(G320,Conflict!$A$2:$A$35,Conflict!$J$2:$J$35)</f>
        <v/>
      </c>
    </row>
    <row r="321">
      <c r="A321" s="5" t="s">
        <v>325</v>
      </c>
      <c r="B321" s="7" t="str">
        <f t="shared" si="1"/>
        <v>OK</v>
      </c>
      <c r="C321" s="6" t="s">
        <v>391</v>
      </c>
      <c r="E321" s="7" t="str">
        <f t="shared" si="2"/>
        <v>OK</v>
      </c>
      <c r="G321" s="6" t="s">
        <v>355</v>
      </c>
      <c r="H321" s="7" t="str">
        <f t="shared" si="3"/>
        <v>no</v>
      </c>
      <c r="I321" s="7" t="str">
        <f t="array" ref="I321">XLOOKUP(G321,Conflict!$A$2:$A$35,Conflict!$I$2:$I$35)</f>
        <v>New Contents</v>
      </c>
      <c r="J321" s="7" t="str">
        <f t="array" ref="J321">XLOOKUP(G321,Conflict!$A$2:$A$35,Conflict!$J$2:$J$35)</f>
        <v>Box Color Changed</v>
      </c>
    </row>
    <row r="322">
      <c r="A322" s="5" t="s">
        <v>326</v>
      </c>
      <c r="B322" s="7" t="str">
        <f t="shared" si="1"/>
        <v>OK</v>
      </c>
      <c r="C322" s="6" t="s">
        <v>392</v>
      </c>
      <c r="E322" s="7" t="str">
        <f t="shared" si="2"/>
        <v>OK</v>
      </c>
      <c r="G322" s="6" t="s">
        <v>356</v>
      </c>
      <c r="H322" s="7" t="str">
        <f t="shared" si="3"/>
        <v>no</v>
      </c>
      <c r="I322" s="7" t="str">
        <f t="array" ref="I322">XLOOKUP(G322,Conflict!$A$2:$A$35,Conflict!$I$2:$I$35)</f>
        <v>Layout Shifted</v>
      </c>
      <c r="J322" s="7" t="str">
        <f t="array" ref="J322">XLOOKUP(G322,Conflict!$A$2:$A$35,Conflict!$J$2:$J$35)</f>
        <v/>
      </c>
    </row>
    <row r="323">
      <c r="A323" s="5" t="s">
        <v>327</v>
      </c>
      <c r="B323" s="7" t="str">
        <f t="shared" si="1"/>
        <v>OK</v>
      </c>
      <c r="C323" s="6" t="s">
        <v>393</v>
      </c>
      <c r="E323" s="7" t="str">
        <f t="shared" si="2"/>
        <v>OK</v>
      </c>
      <c r="G323" s="6" t="s">
        <v>357</v>
      </c>
      <c r="H323" s="7" t="str">
        <f t="shared" si="3"/>
        <v>no</v>
      </c>
      <c r="I323" s="7" t="str">
        <f t="array" ref="I323">XLOOKUP(G323,Conflict!$A$2:$A$35,Conflict!$I$2:$I$35)</f>
        <v>OutOfScope: Duplicates</v>
      </c>
      <c r="J323" s="7" t="str">
        <f t="array" ref="J323">XLOOKUP(G323,Conflict!$A$2:$A$35,Conflict!$J$2:$J$35)</f>
        <v/>
      </c>
    </row>
    <row r="324">
      <c r="A324" s="5" t="s">
        <v>328</v>
      </c>
      <c r="B324" s="7" t="str">
        <f t="shared" si="1"/>
        <v>OK</v>
      </c>
      <c r="C324" s="6" t="s">
        <v>394</v>
      </c>
      <c r="E324" s="7" t="str">
        <f t="shared" si="2"/>
        <v>OK</v>
      </c>
      <c r="G324" s="6" t="s">
        <v>358</v>
      </c>
      <c r="H324" s="7" t="str">
        <f t="shared" si="3"/>
        <v>no</v>
      </c>
      <c r="I324" s="7" t="str">
        <f t="array" ref="I324">XLOOKUP(G324,Conflict!$A$2:$A$35,Conflict!$I$2:$I$35)</f>
        <v>Layout Shifted</v>
      </c>
      <c r="J324" s="7" t="str">
        <f t="array" ref="J324">XLOOKUP(G324,Conflict!$A$2:$A$35,Conflict!$J$2:$J$35)</f>
        <v/>
      </c>
    </row>
    <row r="325">
      <c r="A325" s="5" t="s">
        <v>329</v>
      </c>
      <c r="B325" s="7" t="str">
        <f t="shared" si="1"/>
        <v>OK</v>
      </c>
      <c r="C325" s="6" t="s">
        <v>395</v>
      </c>
      <c r="E325" s="7" t="str">
        <f t="shared" si="2"/>
        <v>OK</v>
      </c>
      <c r="G325" s="6" t="s">
        <v>359</v>
      </c>
      <c r="H325" s="7" t="str">
        <f t="shared" si="3"/>
        <v>no</v>
      </c>
      <c r="I325" s="7" t="str">
        <f t="array" ref="I325">XLOOKUP(G325,Conflict!$A$2:$A$35,Conflict!$I$2:$I$35)</f>
        <v>Layout Shifted</v>
      </c>
      <c r="J325" s="7" t="str">
        <f t="array" ref="J325">XLOOKUP(G325,Conflict!$A$2:$A$35,Conflict!$J$2:$J$35)</f>
        <v/>
      </c>
    </row>
    <row r="326">
      <c r="A326" s="5" t="s">
        <v>330</v>
      </c>
      <c r="B326" s="7" t="str">
        <f t="shared" si="1"/>
        <v>OK</v>
      </c>
      <c r="C326" s="6" t="s">
        <v>396</v>
      </c>
      <c r="E326" s="7" t="str">
        <f t="shared" si="2"/>
        <v>OK</v>
      </c>
      <c r="G326" s="6" t="s">
        <v>360</v>
      </c>
      <c r="H326" s="7" t="str">
        <f t="shared" si="3"/>
        <v>no</v>
      </c>
      <c r="I326" s="7" t="str">
        <f t="array" ref="I326">XLOOKUP(G326,Conflict!$A$2:$A$35,Conflict!$I$2:$I$35)</f>
        <v>OutOfScope: New Story</v>
      </c>
      <c r="J326" s="7" t="str">
        <f t="array" ref="J326">XLOOKUP(G326,Conflict!$A$2:$A$35,Conflict!$J$2:$J$35)</f>
        <v/>
      </c>
    </row>
    <row r="327">
      <c r="A327" s="5" t="s">
        <v>331</v>
      </c>
      <c r="B327" s="7" t="str">
        <f t="shared" si="1"/>
        <v>OK</v>
      </c>
      <c r="C327" s="6" t="s">
        <v>397</v>
      </c>
      <c r="E327" s="7" t="str">
        <f t="shared" si="2"/>
        <v>OK</v>
      </c>
      <c r="G327" s="6" t="s">
        <v>361</v>
      </c>
      <c r="H327" s="7" t="str">
        <f t="shared" si="3"/>
        <v>no</v>
      </c>
      <c r="I327" s="7" t="str">
        <f t="array" ref="I327">XLOOKUP(G327,Conflict!$A$2:$A$35,Conflict!$I$2:$I$35)</f>
        <v>OutOfScope: New Story</v>
      </c>
      <c r="J327" s="7" t="str">
        <f t="array" ref="J327">XLOOKUP(G327,Conflict!$A$2:$A$35,Conflict!$J$2:$J$35)</f>
        <v/>
      </c>
    </row>
    <row r="328">
      <c r="A328" s="5" t="s">
        <v>332</v>
      </c>
      <c r="B328" s="7" t="str">
        <f t="shared" si="1"/>
        <v>OK</v>
      </c>
      <c r="C328" s="6" t="s">
        <v>398</v>
      </c>
      <c r="E328" s="7" t="str">
        <f t="shared" si="2"/>
        <v>OK</v>
      </c>
      <c r="G328" s="6" t="s">
        <v>362</v>
      </c>
      <c r="H328" s="7" t="str">
        <f t="shared" si="3"/>
        <v>no</v>
      </c>
      <c r="I328" s="7" t="str">
        <f t="array" ref="I328">XLOOKUP(G328,Conflict!$A$2:$A$35,Conflict!$I$2:$I$35)</f>
        <v>OutOfScope: New Story</v>
      </c>
      <c r="J328" s="7" t="str">
        <f t="array" ref="J328">XLOOKUP(G328,Conflict!$A$2:$A$35,Conflict!$J$2:$J$35)</f>
        <v/>
      </c>
    </row>
    <row r="329">
      <c r="A329" s="5" t="s">
        <v>333</v>
      </c>
      <c r="B329" s="7" t="str">
        <f t="shared" si="1"/>
        <v>OK</v>
      </c>
      <c r="C329" s="6" t="s">
        <v>399</v>
      </c>
      <c r="E329" s="7" t="str">
        <f t="shared" si="2"/>
        <v>OK</v>
      </c>
      <c r="G329" s="6" t="s">
        <v>363</v>
      </c>
      <c r="H329" s="7" t="str">
        <f t="shared" si="3"/>
        <v>no</v>
      </c>
      <c r="I329" s="7" t="str">
        <f t="array" ref="I329">XLOOKUP(G329,Conflict!$A$2:$A$35,Conflict!$I$2:$I$35)</f>
        <v>OutOfScope: New Story</v>
      </c>
      <c r="J329" s="7" t="str">
        <f t="array" ref="J329">XLOOKUP(G329,Conflict!$A$2:$A$35,Conflict!$J$2:$J$35)</f>
        <v/>
      </c>
    </row>
    <row r="330">
      <c r="A330" s="5" t="s">
        <v>334</v>
      </c>
      <c r="B330" s="7" t="str">
        <f t="shared" si="1"/>
        <v>OK</v>
      </c>
      <c r="C330" s="6" t="s">
        <v>400</v>
      </c>
      <c r="E330" s="7" t="str">
        <f t="shared" si="2"/>
        <v>OK</v>
      </c>
      <c r="G330" s="6" t="s">
        <v>364</v>
      </c>
      <c r="H330" s="7" t="str">
        <f t="shared" si="3"/>
        <v>no</v>
      </c>
      <c r="I330" s="7" t="str">
        <f t="array" ref="I330">XLOOKUP(G330,Conflict!$A$2:$A$35,Conflict!$I$2:$I$35)</f>
        <v>OutOfScope: Chromatic Error</v>
      </c>
      <c r="J330" s="7" t="str">
        <f t="array" ref="J330">XLOOKUP(G330,Conflict!$A$2:$A$35,Conflict!$J$2:$J$35)</f>
        <v/>
      </c>
    </row>
    <row r="331">
      <c r="A331" s="5" t="s">
        <v>335</v>
      </c>
      <c r="B331" s="7" t="str">
        <f t="shared" si="1"/>
        <v>OK</v>
      </c>
      <c r="C331" s="6" t="s">
        <v>401</v>
      </c>
      <c r="E331" s="7" t="str">
        <f t="shared" si="2"/>
        <v>OK</v>
      </c>
      <c r="G331" s="6" t="s">
        <v>365</v>
      </c>
      <c r="H331" s="7" t="str">
        <f t="shared" si="3"/>
        <v>no</v>
      </c>
      <c r="I331" s="7" t="str">
        <f t="array" ref="I331">XLOOKUP(G331,Conflict!$A$2:$A$35,Conflict!$I$2:$I$35)</f>
        <v>OutOfScope: New Story</v>
      </c>
      <c r="J331" s="7" t="str">
        <f t="array" ref="J331">XLOOKUP(G331,Conflict!$A$2:$A$35,Conflict!$J$2:$J$35)</f>
        <v/>
      </c>
    </row>
    <row r="332">
      <c r="A332" s="5" t="s">
        <v>336</v>
      </c>
      <c r="B332" s="7" t="str">
        <f t="shared" si="1"/>
        <v>OK</v>
      </c>
      <c r="C332" s="6" t="s">
        <v>402</v>
      </c>
      <c r="E332" s="7" t="str">
        <f t="shared" si="2"/>
        <v>OK</v>
      </c>
      <c r="G332" s="6" t="s">
        <v>366</v>
      </c>
      <c r="H332" s="7" t="str">
        <f t="shared" si="3"/>
        <v>no</v>
      </c>
      <c r="I332" s="7" t="str">
        <f t="array" ref="I332">XLOOKUP(G332,Conflict!$A$2:$A$35,Conflict!$I$2:$I$35)</f>
        <v>Undefined/Wrong State is Shown</v>
      </c>
      <c r="J332" s="7" t="str">
        <f t="array" ref="J332">XLOOKUP(G332,Conflict!$A$2:$A$35,Conflict!$J$2:$J$35)</f>
        <v/>
      </c>
    </row>
    <row r="333">
      <c r="A333" s="5" t="s">
        <v>337</v>
      </c>
      <c r="B333" s="7" t="str">
        <f t="shared" si="1"/>
        <v>OK</v>
      </c>
      <c r="C333" s="6" t="s">
        <v>403</v>
      </c>
      <c r="E333" s="7" t="str">
        <f t="shared" si="2"/>
        <v>OK</v>
      </c>
      <c r="G333" s="6" t="s">
        <v>367</v>
      </c>
      <c r="H333" s="7" t="str">
        <f t="shared" si="3"/>
        <v>no</v>
      </c>
      <c r="I333" s="7" t="str">
        <f t="array" ref="I333">XLOOKUP(G333,Conflict!$A$2:$A$35,Conflict!$I$2:$I$35)</f>
        <v>Layout Shifted</v>
      </c>
      <c r="J333" s="7" t="str">
        <f t="array" ref="J333">XLOOKUP(G333,Conflict!$A$2:$A$35,Conflict!$J$2:$J$35)</f>
        <v/>
      </c>
    </row>
    <row r="334">
      <c r="A334" s="5" t="s">
        <v>338</v>
      </c>
      <c r="B334" s="7" t="str">
        <f t="shared" si="1"/>
        <v>OK</v>
      </c>
      <c r="C334" s="6" t="s">
        <v>404</v>
      </c>
      <c r="E334" s="7" t="str">
        <f t="shared" si="2"/>
        <v>OK</v>
      </c>
      <c r="G334" s="6" t="s">
        <v>368</v>
      </c>
      <c r="H334" s="7" t="str">
        <f t="shared" si="3"/>
        <v>no</v>
      </c>
      <c r="I334" s="7" t="str">
        <f t="array" ref="I334">XLOOKUP(G334,Conflict!$A$2:$A$35,Conflict!$I$2:$I$35)</f>
        <v>OutOfScope: Not VRT Discussion</v>
      </c>
      <c r="J334" s="7" t="str">
        <f t="array" ref="J334">XLOOKUP(G334,Conflict!$A$2:$A$35,Conflict!$J$2:$J$35)</f>
        <v/>
      </c>
    </row>
    <row r="335">
      <c r="A335" s="5" t="s">
        <v>339</v>
      </c>
      <c r="B335" s="7" t="str">
        <f t="shared" si="1"/>
        <v>OK</v>
      </c>
      <c r="C335" s="6" t="s">
        <v>405</v>
      </c>
      <c r="E335" s="7" t="str">
        <f t="shared" si="2"/>
        <v>OK</v>
      </c>
      <c r="G335" s="6" t="s">
        <v>369</v>
      </c>
      <c r="H335" s="7" t="str">
        <f t="shared" si="3"/>
        <v>no</v>
      </c>
      <c r="I335" s="7" t="str">
        <f t="array" ref="I335">XLOOKUP(G335,Conflict!$A$2:$A$35,Conflict!$I$2:$I$35)</f>
        <v>OutOfScope: New Story</v>
      </c>
      <c r="J335" s="7" t="str">
        <f t="array" ref="J335">XLOOKUP(G335,Conflict!$A$2:$A$35,Conflict!$J$2:$J$35)</f>
        <v/>
      </c>
    </row>
    <row r="336">
      <c r="A336" s="8" t="s">
        <v>340</v>
      </c>
      <c r="B336" s="7" t="str">
        <f t="shared" si="1"/>
        <v>OK</v>
      </c>
      <c r="C336" s="2" t="s">
        <v>410</v>
      </c>
      <c r="G336" s="3" t="s">
        <v>370</v>
      </c>
      <c r="H336" s="7" t="str">
        <f t="shared" si="3"/>
        <v>no</v>
      </c>
      <c r="I336" s="7" t="str">
        <f t="array" ref="I336">XLOOKUP(G336,Conflict!$A$2:$A$35,Conflict!$I$2:$I$35)</f>
        <v>Layout Shifted</v>
      </c>
      <c r="J336" s="7" t="str">
        <f t="array" ref="J336">XLOOKUP(G336,Conflict!$A$2:$A$35,Conflict!$J$2:$J$35)</f>
        <v>New Contents</v>
      </c>
    </row>
    <row r="337">
      <c r="A337" s="5" t="s">
        <v>341</v>
      </c>
      <c r="B337" s="7" t="str">
        <f t="shared" si="1"/>
        <v>OK</v>
      </c>
      <c r="C337" s="2" t="s">
        <v>410</v>
      </c>
      <c r="G337" s="3" t="s">
        <v>371</v>
      </c>
      <c r="H337" s="7" t="str">
        <f t="shared" si="3"/>
        <v>no</v>
      </c>
      <c r="I337" s="7" t="str">
        <f t="array" ref="I337">XLOOKUP(G337,Conflict!$A$2:$A$35,Conflict!$I$2:$I$35)</f>
        <v>Layout Shifted</v>
      </c>
      <c r="J337" s="7" t="str">
        <f t="array" ref="J337">XLOOKUP(G337,Conflict!$A$2:$A$35,Conflict!$J$2:$J$35)</f>
        <v/>
      </c>
    </row>
    <row r="338">
      <c r="A338" s="5" t="s">
        <v>342</v>
      </c>
      <c r="B338" s="7" t="str">
        <f t="shared" si="1"/>
        <v>OK</v>
      </c>
      <c r="C338" s="2" t="s">
        <v>410</v>
      </c>
      <c r="G338" s="6" t="s">
        <v>372</v>
      </c>
      <c r="H338" s="7" t="str">
        <f t="shared" si="3"/>
        <v>no</v>
      </c>
      <c r="I338" s="7" t="str">
        <f t="array" ref="I338">XLOOKUP(G338,Conflict!$A$2:$A$35,Conflict!$I$2:$I$35)</f>
        <v>Box Color Changed</v>
      </c>
      <c r="J338" s="7" t="str">
        <f t="array" ref="J338">XLOOKUP(G338,Conflict!$A$2:$A$35,Conflict!$J$2:$J$35)</f>
        <v/>
      </c>
    </row>
    <row r="339">
      <c r="A339" s="5" t="s">
        <v>343</v>
      </c>
      <c r="B339" s="7" t="str">
        <f t="shared" si="1"/>
        <v>OK</v>
      </c>
      <c r="C339" s="2" t="s">
        <v>410</v>
      </c>
      <c r="G339" s="6" t="s">
        <v>373</v>
      </c>
      <c r="H339" s="7" t="str">
        <f t="shared" si="3"/>
        <v>no</v>
      </c>
      <c r="I339" s="7" t="str">
        <f t="array" ref="I339">XLOOKUP(G339,Conflict!$A$2:$A$35,Conflict!$I$2:$I$35)</f>
        <v>Border Color Changed</v>
      </c>
      <c r="J339" s="7" t="str">
        <f t="array" ref="J339">XLOOKUP(G339,Conflict!$A$2:$A$35,Conflict!$J$2:$J$35)</f>
        <v/>
      </c>
    </row>
    <row r="340">
      <c r="A340" s="5" t="s">
        <v>344</v>
      </c>
      <c r="B340" s="7" t="str">
        <f t="shared" si="1"/>
        <v>OK</v>
      </c>
      <c r="C340" s="2" t="s">
        <v>410</v>
      </c>
      <c r="G340" s="6" t="s">
        <v>374</v>
      </c>
      <c r="H340" s="7" t="str">
        <f t="shared" si="3"/>
        <v>no</v>
      </c>
      <c r="I340" s="7" t="str">
        <f t="array" ref="I340">XLOOKUP(G340,Conflict!$A$2:$A$35,Conflict!$I$2:$I$35)</f>
        <v>OutOfScope: Chromatic Error</v>
      </c>
      <c r="J340" s="7" t="str">
        <f t="array" ref="J340">XLOOKUP(G340,Conflict!$A$2:$A$35,Conflict!$J$2:$J$35)</f>
        <v/>
      </c>
    </row>
    <row r="341">
      <c r="C341" s="2"/>
      <c r="G341" s="6" t="s">
        <v>375</v>
      </c>
      <c r="H341" s="7" t="str">
        <f t="shared" si="3"/>
        <v>no</v>
      </c>
      <c r="I341" s="7" t="str">
        <f t="array" ref="I341">XLOOKUP(G341,Conflict!$A$2:$A$35,Conflict!$I$2:$I$35)</f>
        <v>Layout Shifted</v>
      </c>
      <c r="J341" s="7" t="str">
        <f t="array" ref="J341">XLOOKUP(G341,Conflict!$A$2:$A$35,Conflict!$J$2:$J$35)</f>
        <v/>
      </c>
    </row>
    <row r="342">
      <c r="G342" s="6" t="s">
        <v>376</v>
      </c>
      <c r="H342" s="7" t="str">
        <f t="shared" si="3"/>
        <v>no</v>
      </c>
      <c r="I342" s="7" t="str">
        <f t="array" ref="I342">XLOOKUP(G342,Conflict!$A$2:$A$35,Conflict!$I$2:$I$35)</f>
        <v>Layout Changed</v>
      </c>
      <c r="J342" s="7" t="str">
        <f t="array" ref="J342">XLOOKUP(G342,Conflict!$A$2:$A$35,Conflict!$J$2:$J$35)</f>
        <v/>
      </c>
    </row>
    <row r="343">
      <c r="G343" s="6" t="s">
        <v>377</v>
      </c>
      <c r="H343" s="7" t="str">
        <f t="shared" si="3"/>
        <v>no</v>
      </c>
      <c r="I343" s="7" t="str">
        <f t="array" ref="I343">XLOOKUP(G343,Conflict!$A$2:$A$35,Conflict!$I$2:$I$35)</f>
        <v>OutOfScope: New Story</v>
      </c>
      <c r="J343" s="7" t="str">
        <f t="array" ref="J343">XLOOKUP(G343,Conflict!$A$2:$A$35,Conflict!$J$2:$J$35)</f>
        <v/>
      </c>
    </row>
    <row r="344">
      <c r="G344" s="6" t="s">
        <v>378</v>
      </c>
      <c r="H344" s="7" t="str">
        <f t="shared" si="3"/>
        <v>no</v>
      </c>
      <c r="I344" s="7" t="str">
        <f t="array" ref="I344">XLOOKUP(G344,Conflict!$A$2:$A$35,Conflict!$I$2:$I$35)</f>
        <v>OutOfScope: New Story</v>
      </c>
      <c r="J344" s="7" t="str">
        <f t="array" ref="J344">XLOOKUP(G344,Conflict!$A$2:$A$35,Conflict!$J$2:$J$35)</f>
        <v/>
      </c>
    </row>
    <row r="345">
      <c r="A345" s="2" t="s">
        <v>411</v>
      </c>
      <c r="C345" s="9"/>
    </row>
    <row r="346">
      <c r="C346" s="9"/>
    </row>
    <row r="348">
      <c r="G348" s="2" t="s">
        <v>412</v>
      </c>
    </row>
    <row r="359">
      <c r="G359" s="9"/>
    </row>
    <row r="360">
      <c r="C360" s="9"/>
    </row>
    <row r="361">
      <c r="C361" s="9"/>
    </row>
    <row r="362">
      <c r="C362" s="9"/>
    </row>
    <row r="363">
      <c r="C363" s="9"/>
    </row>
    <row r="364">
      <c r="C364" s="9"/>
    </row>
    <row r="365">
      <c r="C365" s="9"/>
    </row>
    <row r="366">
      <c r="C366" s="9"/>
    </row>
    <row r="367">
      <c r="C367" s="9"/>
    </row>
    <row r="368">
      <c r="C368" s="9"/>
    </row>
    <row r="369">
      <c r="C369" s="9"/>
    </row>
    <row r="370">
      <c r="C370" s="9"/>
    </row>
    <row r="378">
      <c r="G378" s="9"/>
    </row>
  </sheetData>
  <hyperlinks>
    <hyperlink r:id="rId1" location="discussion_r602729163" ref="A1"/>
    <hyperlink r:id="rId2" location="discussion_r1083565846" ref="C1"/>
    <hyperlink r:id="rId3" location="discussion_r1083565846" ref="G1"/>
    <hyperlink r:id="rId4" location="issuecomment-818063376" ref="A2"/>
    <hyperlink r:id="rId5" location="discussion_r1083724374" ref="C2"/>
    <hyperlink r:id="rId6" location="discussion_r1083724374" ref="G2"/>
    <hyperlink r:id="rId7" location="issuecomment-850596423" ref="A3"/>
    <hyperlink r:id="rId8" location="discussion_r1074023214" ref="C3"/>
    <hyperlink r:id="rId9" location="discussion_r1074023214" ref="G3"/>
    <hyperlink r:id="rId10" location="issuecomment-850776321" ref="A4"/>
    <hyperlink r:id="rId11" location="issuecomment-1383873154" ref="C4"/>
    <hyperlink r:id="rId12" location="issuecomment-1383873154" ref="G4"/>
    <hyperlink r:id="rId13" location="issuecomment-870014559" ref="A5"/>
    <hyperlink r:id="rId14" location="issuecomment-1440357711" ref="C5"/>
    <hyperlink r:id="rId15" location="issuecomment-1440357711" ref="G5"/>
    <hyperlink r:id="rId16" location="issuecomment-849190817" ref="A6"/>
    <hyperlink r:id="rId17" location="issuecomment-1426807019" ref="C6"/>
    <hyperlink r:id="rId18" location="issuecomment-1426807019" ref="G6"/>
    <hyperlink r:id="rId19" location="issuecomment-966653132" ref="A7"/>
    <hyperlink r:id="rId20" location="issuecomment-1422355751" ref="C7"/>
    <hyperlink r:id="rId21" location="issuecomment-1422355751" ref="G7"/>
    <hyperlink r:id="rId22" location="issuecomment-966699322" ref="A8"/>
    <hyperlink r:id="rId23" location="issuecomment-1422375286" ref="C8"/>
    <hyperlink r:id="rId24" location="issuecomment-1422375286" ref="G8"/>
    <hyperlink r:id="rId25" location="discussion_r784963783" ref="A9"/>
    <hyperlink r:id="rId26" location="issuecomment-1422416345" ref="C9"/>
    <hyperlink r:id="rId27" location="issuecomment-1422416345" ref="G9"/>
    <hyperlink r:id="rId28" location="discussion_r787954027" ref="A10"/>
    <hyperlink r:id="rId29" location="discussion_r1146494323" ref="C10"/>
    <hyperlink r:id="rId30" location="discussion_r1146494323" ref="G10"/>
    <hyperlink r:id="rId31" location="issuecomment-1246339422" ref="A11"/>
    <hyperlink r:id="rId32" location="issuecomment-1481577294" ref="C11"/>
    <hyperlink r:id="rId33" location="issuecomment-1481577294" ref="G11"/>
    <hyperlink r:id="rId34" location="discussion_r836569925" ref="A12"/>
    <hyperlink r:id="rId35" location="issuecomment-1486132202" ref="C12"/>
    <hyperlink r:id="rId36" location="issuecomment-1486132202" ref="G12"/>
    <hyperlink r:id="rId37" location="issuecomment-1120316930" ref="A13"/>
    <hyperlink r:id="rId38" location="issuecomment-1486151336" ref="C13"/>
    <hyperlink r:id="rId39" location="issuecomment-1486151336" ref="G13"/>
    <hyperlink r:id="rId40" location="issuecomment-1148346047" ref="A14"/>
    <hyperlink r:id="rId41" location="discussion_r1127264221" ref="C14"/>
    <hyperlink r:id="rId42" location="discussion_r1127264221" ref="G14"/>
    <hyperlink r:id="rId43" location="issuecomment-1261199307" ref="A15"/>
    <hyperlink r:id="rId44" location="issuecomment-1482782327" ref="C15"/>
    <hyperlink r:id="rId45" location="issuecomment-1482782327" ref="G15"/>
    <hyperlink r:id="rId46" location="issuecomment-1261201874" ref="A16"/>
    <hyperlink r:id="rId47" location="issuecomment-1485049856" ref="C16"/>
    <hyperlink r:id="rId48" location="issuecomment-1485049856" ref="G16"/>
    <hyperlink r:id="rId49" location="discussion_r1234043008" ref="A17"/>
    <hyperlink r:id="rId50" location="issuecomment-1468376389" ref="C17"/>
    <hyperlink r:id="rId51" location="issuecomment-1468376389" ref="G17"/>
    <hyperlink r:id="rId52" location="issuecomment-1986490667" ref="A18"/>
    <hyperlink r:id="rId53" location="discussion_r1155937820" ref="C18"/>
    <hyperlink r:id="rId54" location="discussion_r1155937820" ref="G18"/>
    <hyperlink r:id="rId55" location="issuecomment-1638520839" ref="A19"/>
    <hyperlink r:id="rId56" location="issuecomment-1513081507" ref="C19"/>
    <hyperlink r:id="rId57" location="issuecomment-1513081507" ref="G19"/>
    <hyperlink r:id="rId58" location="issuecomment-1824354502" ref="A20"/>
    <hyperlink r:id="rId59" location="issuecomment-1523711377" ref="C20"/>
    <hyperlink r:id="rId60" location="issuecomment-1523711377" ref="G20"/>
    <hyperlink r:id="rId61" location="discussion_r1455741535" ref="A21"/>
    <hyperlink r:id="rId62" location="issuecomment-1523829146" ref="C21"/>
    <hyperlink r:id="rId63" location="issuecomment-1523829146" ref="G21"/>
    <hyperlink r:id="rId64" location="discussion_r1608891107" ref="A22"/>
    <hyperlink r:id="rId65" location="discussion_r1156498711" ref="C22"/>
    <hyperlink r:id="rId66" location="discussion_r1156498711" ref="G22"/>
    <hyperlink r:id="rId67" location="discussion_r1717040579" ref="A23"/>
    <hyperlink r:id="rId68" location="issuecomment-1576578560" ref="C23"/>
    <hyperlink r:id="rId69" location="issuecomment-1576578560" ref="G23"/>
    <hyperlink r:id="rId70" location="issuecomment-2329949783" ref="A24"/>
    <hyperlink r:id="rId71" location="issuecomment-1582606514" ref="C24"/>
    <hyperlink r:id="rId72" location="issuecomment-1582606514" ref="G24"/>
    <hyperlink r:id="rId73" location="issuecomment-2402654032" ref="A25"/>
    <hyperlink r:id="rId74" location="issuecomment-1582829867" ref="C25"/>
    <hyperlink r:id="rId75" location="issuecomment-1582829867" ref="G25"/>
    <hyperlink r:id="rId76" location="discussion_r1841150927" ref="A26"/>
    <hyperlink r:id="rId77" location="issuecomment-1590831197" ref="C26"/>
    <hyperlink r:id="rId78" location="issuecomment-1590831197" ref="G26"/>
    <hyperlink r:id="rId79" location="issuecomment-2569139239" ref="A27"/>
    <hyperlink r:id="rId80" location="issuecomment-1582854272" ref="C27"/>
    <hyperlink r:id="rId81" location="issuecomment-1582854272" ref="G27"/>
    <hyperlink r:id="rId82" location="discussion_r1083565846" ref="A28"/>
    <hyperlink r:id="rId83" location="discussion_r1235304399" ref="C28"/>
    <hyperlink r:id="rId84" location="discussion_r1235304399" ref="G28"/>
    <hyperlink r:id="rId85" location="discussion_r1083724374" ref="A29"/>
    <hyperlink r:id="rId86" location="discussion_r1235309846" ref="C29"/>
    <hyperlink r:id="rId87" location="discussion_r1235309846" ref="G29"/>
    <hyperlink r:id="rId88" location="discussion_r1074023214" ref="A30"/>
    <hyperlink r:id="rId89" location="issuecomment-1578506842" ref="C30"/>
    <hyperlink r:id="rId90" location="issuecomment-1578506842" ref="G30"/>
    <hyperlink r:id="rId91" location="issuecomment-1383873154" ref="A31"/>
    <hyperlink r:id="rId92" location="issuecomment-1578517673" ref="C31"/>
    <hyperlink r:id="rId93" location="issuecomment-1578517673" ref="G31"/>
    <hyperlink r:id="rId94" location="issuecomment-1440357711" ref="A32"/>
    <hyperlink r:id="rId95" location="discussion_r1263879886" ref="C32"/>
    <hyperlink r:id="rId96" location="discussion_r1263879886" ref="G32"/>
    <hyperlink r:id="rId97" location="issuecomment-1426807019" ref="A33"/>
    <hyperlink r:id="rId98" location="issuecomment-1597866592" ref="C33"/>
    <hyperlink r:id="rId99" location="issuecomment-1597866592" ref="G33"/>
    <hyperlink r:id="rId100" location="issuecomment-1422355751" ref="A34"/>
    <hyperlink r:id="rId101" location="issuecomment-1675592946" ref="C34"/>
    <hyperlink r:id="rId102" location="issuecomment-1675592946" ref="G34"/>
    <hyperlink r:id="rId103" location="issuecomment-1422375286" ref="A35"/>
    <hyperlink r:id="rId104" location="issuecomment-1624983316" ref="C35"/>
    <hyperlink r:id="rId105" location="issuecomment-1624983316" ref="G35"/>
    <hyperlink r:id="rId106" location="issuecomment-1422416345" ref="A36"/>
    <hyperlink r:id="rId107" location="issuecomment-1672650566" ref="C36"/>
    <hyperlink r:id="rId108" location="issuecomment-1672650566" ref="G36"/>
    <hyperlink r:id="rId109" location="discussion_r1146494323" ref="A37"/>
    <hyperlink r:id="rId110" location="issuecomment-1689636196" ref="C37"/>
    <hyperlink r:id="rId111" location="issuecomment-1689636196" ref="G37"/>
    <hyperlink r:id="rId112" location="issuecomment-1481577294" ref="A38"/>
    <hyperlink r:id="rId113" location="issuecomment-1672651113" ref="C38"/>
    <hyperlink r:id="rId114" location="issuecomment-1672651113" ref="G38"/>
    <hyperlink r:id="rId115" location="issuecomment-1486132202" ref="A39"/>
    <hyperlink r:id="rId116" location="issuecomment-1689209740" ref="C39"/>
    <hyperlink r:id="rId117" location="issuecomment-1689209740" ref="G39"/>
    <hyperlink r:id="rId118" location="issuecomment-1486151336" ref="A40"/>
    <hyperlink r:id="rId119" location="issuecomment-1690111304" ref="C40"/>
    <hyperlink r:id="rId120" location="issuecomment-1690111304" ref="G40"/>
    <hyperlink r:id="rId121" location="discussion_r1127264221" ref="A41"/>
    <hyperlink r:id="rId122" location="discussion_r1303995244" ref="C41"/>
    <hyperlink r:id="rId123" location="discussion_r1303995244" ref="G41"/>
    <hyperlink r:id="rId124" location="issuecomment-1482782327" ref="A42"/>
    <hyperlink r:id="rId125" location="issuecomment-1686618217" ref="C42"/>
    <hyperlink r:id="rId126" location="issuecomment-1686618217" ref="G42"/>
    <hyperlink r:id="rId127" location="issuecomment-1485049856" ref="A43"/>
    <hyperlink r:id="rId128" location="issuecomment-1661736821" ref="C43"/>
    <hyperlink r:id="rId129" location="issuecomment-1661736821" ref="G43"/>
    <hyperlink r:id="rId130" location="issuecomment-1468376389" ref="A44"/>
    <hyperlink r:id="rId131" location="issuecomment-1665498143" ref="C44"/>
    <hyperlink r:id="rId132" location="issuecomment-1665498143" ref="G44"/>
    <hyperlink r:id="rId133" location="discussion_r1155937820" ref="A45"/>
    <hyperlink r:id="rId134" location="issuecomment-1665506423" ref="C45"/>
    <hyperlink r:id="rId135" location="issuecomment-1665506423" ref="G45"/>
    <hyperlink r:id="rId136" location="issuecomment-1513081507" ref="A46"/>
    <hyperlink r:id="rId137" location="discussion_r1306204926" ref="C46"/>
    <hyperlink r:id="rId138" location="discussion_r1306204926" ref="G46"/>
    <hyperlink r:id="rId139" location="issuecomment-1523711377" ref="A47"/>
    <hyperlink r:id="rId140" location="issuecomment-1697519138" ref="C47"/>
    <hyperlink r:id="rId141" location="issuecomment-1697519138" ref="G47"/>
    <hyperlink r:id="rId142" location="issuecomment-1523829146" ref="A48"/>
    <hyperlink r:id="rId143" location="discussion_r1314789164" ref="C48"/>
    <hyperlink r:id="rId144" location="discussion_r1314789164" ref="G48"/>
    <hyperlink r:id="rId145" location="discussion_r1156498711" ref="A49"/>
    <hyperlink r:id="rId146" location="discussion_r1332517627" ref="C49"/>
    <hyperlink r:id="rId147" location="discussion_r1332517627" ref="G49"/>
    <hyperlink r:id="rId148" location="issuecomment-1576578560" ref="A50"/>
    <hyperlink r:id="rId149" location="discussion_r1336278028" ref="C50"/>
    <hyperlink r:id="rId150" location="discussion_r1336278028" ref="G50"/>
    <hyperlink r:id="rId151" location="issuecomment-1582606514" ref="A51"/>
    <hyperlink r:id="rId152" location="issuecomment-1780379051" ref="C51"/>
    <hyperlink r:id="rId153" location="issuecomment-1780379051" ref="G51"/>
    <hyperlink r:id="rId154" location="issuecomment-1582829867" ref="A52"/>
    <hyperlink r:id="rId155" location="issuecomment-1793344331" ref="C52"/>
    <hyperlink r:id="rId156" location="issuecomment-1793344331" ref="G52"/>
    <hyperlink r:id="rId157" location="issuecomment-1590831197" ref="A53"/>
    <hyperlink r:id="rId158" location="issuecomment-1785720245" ref="C53"/>
    <hyperlink r:id="rId159" location="issuecomment-1785720245" ref="G53"/>
    <hyperlink r:id="rId160" location="issuecomment-1582854272" ref="A54"/>
    <hyperlink r:id="rId161" location="issuecomment-1785791090" ref="C54"/>
    <hyperlink r:id="rId162" location="issuecomment-1785791090" ref="G54"/>
    <hyperlink r:id="rId163" location="discussion_r1235304399" ref="A55"/>
    <hyperlink r:id="rId164" location="issuecomment-1781507882" ref="C55"/>
    <hyperlink r:id="rId165" location="issuecomment-1781507882" ref="G55"/>
    <hyperlink r:id="rId166" location="discussion_r1235309846" ref="A56"/>
    <hyperlink r:id="rId167" location="discussion_r1365062177" ref="C56"/>
    <hyperlink r:id="rId168" location="discussion_r1365062177" ref="G56"/>
    <hyperlink r:id="rId169" location="issuecomment-1578506842" ref="A57"/>
    <hyperlink r:id="rId170" location="issuecomment-1752448257" ref="C57"/>
    <hyperlink r:id="rId171" location="issuecomment-1752448257" ref="G57"/>
    <hyperlink r:id="rId172" location="issuecomment-1578517673" ref="A58"/>
    <hyperlink r:id="rId173" location="issuecomment-1807527354" ref="C58"/>
    <hyperlink r:id="rId174" location="issuecomment-1807527354" ref="G58"/>
    <hyperlink r:id="rId175" location="discussion_r1263879886" ref="A59"/>
    <hyperlink r:id="rId176" location="issuecomment-1809757221" ref="C59"/>
    <hyperlink r:id="rId177" location="issuecomment-1809757221" ref="G59"/>
    <hyperlink r:id="rId178" location="issuecomment-1597866592" ref="A60"/>
    <hyperlink r:id="rId179" location="issuecomment-1801905875" ref="C60"/>
    <hyperlink r:id="rId180" location="issuecomment-1801905875" ref="G60"/>
    <hyperlink r:id="rId181" location="issuecomment-1675592946" ref="A61"/>
    <hyperlink r:id="rId182" location="issuecomment-1828368632" ref="C61"/>
    <hyperlink r:id="rId183" location="issuecomment-1828368632" ref="G61"/>
    <hyperlink r:id="rId184" location="issuecomment-1624983316" ref="A62"/>
    <hyperlink r:id="rId185" location="issuecomment-1793218502" ref="C62"/>
    <hyperlink r:id="rId186" location="issuecomment-1793218502" ref="G62"/>
    <hyperlink r:id="rId187" location="issuecomment-1672650566" ref="A63"/>
    <hyperlink r:id="rId188" location="discussion_r1412686754" ref="C63"/>
    <hyperlink r:id="rId189" location="discussion_r1412686754" ref="G63"/>
    <hyperlink r:id="rId190" location="issuecomment-1689636196" ref="A64"/>
    <hyperlink r:id="rId191" location="discussion_r1414961306" ref="C64"/>
    <hyperlink r:id="rId192" location="discussion_r1414961306" ref="G64"/>
    <hyperlink r:id="rId193" location="issuecomment-1672651113" ref="A65"/>
    <hyperlink r:id="rId194" location="discussion_r1417022793" ref="C65"/>
    <hyperlink r:id="rId195" location="discussion_r1417022793" ref="G65"/>
    <hyperlink r:id="rId196" location="issuecomment-1689209740" ref="A66"/>
    <hyperlink r:id="rId197" location="issuecomment-1948839059" ref="C66"/>
    <hyperlink r:id="rId198" location="issuecomment-1948839059" ref="G66"/>
    <hyperlink r:id="rId199" location="issuecomment-1690111304" ref="A67"/>
    <hyperlink r:id="rId200" location="issuecomment-1910187080" ref="C67"/>
    <hyperlink r:id="rId201" location="issuecomment-1910187080" ref="G67"/>
    <hyperlink r:id="rId202" location="discussion_r1303995244" ref="A68"/>
    <hyperlink r:id="rId203" location="issuecomment-1910451341" ref="C68"/>
    <hyperlink r:id="rId204" location="issuecomment-1910451341" ref="G68"/>
    <hyperlink r:id="rId205" location="issuecomment-1686618217" ref="A69"/>
    <hyperlink r:id="rId206" location="issuecomment-1900904418" ref="C69"/>
    <hyperlink r:id="rId207" location="issuecomment-1900904418" ref="G69"/>
    <hyperlink r:id="rId208" location="issuecomment-1661736821" ref="A70"/>
    <hyperlink r:id="rId209" location="issuecomment-1901148987" ref="C70"/>
    <hyperlink r:id="rId210" location="issuecomment-1901148987" ref="G70"/>
    <hyperlink r:id="rId211" location="issuecomment-1665498143" ref="A71"/>
    <hyperlink r:id="rId212" location="issuecomment-1901569192" ref="C71"/>
    <hyperlink r:id="rId213" location="issuecomment-1901569192" ref="G71"/>
    <hyperlink r:id="rId214" location="issuecomment-1665506423" ref="A72"/>
    <hyperlink r:id="rId215" location="issuecomment-1902645890" ref="C72"/>
    <hyperlink r:id="rId216" location="issuecomment-1902645890" ref="G72"/>
    <hyperlink r:id="rId217" location="discussion_r1306204926" ref="A73"/>
    <hyperlink r:id="rId218" location="issuecomment-1899349398" ref="C73"/>
    <hyperlink r:id="rId219" location="issuecomment-1899349398" ref="G73"/>
    <hyperlink r:id="rId220" location="issuecomment-1697519138" ref="A74"/>
    <hyperlink r:id="rId221" location="issuecomment-1886360767" ref="C74"/>
    <hyperlink r:id="rId222" location="issuecomment-1886360767" ref="G74"/>
    <hyperlink r:id="rId223" location="discussion_r1314789164" ref="A75"/>
    <hyperlink r:id="rId224" location="issuecomment-1887960719" ref="C75"/>
    <hyperlink r:id="rId225" location="issuecomment-1887960719" ref="G75"/>
    <hyperlink r:id="rId226" location="discussion_r1332517627" ref="A76"/>
    <hyperlink r:id="rId227" location="discussion_r1450221819" ref="C76"/>
    <hyperlink r:id="rId228" location="discussion_r1450221819" ref="G76"/>
    <hyperlink r:id="rId229" location="discussion_r1336278028" ref="A77"/>
    <hyperlink r:id="rId230" location="issuecomment-1885822780" ref="C77"/>
    <hyperlink r:id="rId231" location="issuecomment-1885822780" ref="G77"/>
    <hyperlink r:id="rId232" location="issuecomment-1780379051" ref="A78"/>
    <hyperlink r:id="rId233" location="discussion_r1443379463" ref="C78"/>
    <hyperlink r:id="rId234" location="discussion_r1443379463" ref="G78"/>
    <hyperlink r:id="rId235" location="issuecomment-1793344331" ref="A79"/>
    <hyperlink r:id="rId236" location="discussion_r1473516211" ref="C79"/>
    <hyperlink r:id="rId237" location="discussion_r1473516211" ref="G79"/>
    <hyperlink r:id="rId238" location="issuecomment-1785720245" ref="A80"/>
    <hyperlink r:id="rId239" location="issuecomment-1959829217" ref="C80"/>
    <hyperlink r:id="rId240" location="issuecomment-1959829217" ref="G80"/>
    <hyperlink r:id="rId241" location="issuecomment-1785791090" ref="A81"/>
    <hyperlink r:id="rId242" location="discussion_r1501899861" ref="C81"/>
    <hyperlink r:id="rId243" location="discussion_r1501899861" ref="G81"/>
    <hyperlink r:id="rId244" location="issuecomment-1781507882" ref="A82"/>
    <hyperlink r:id="rId245" location="discussion_r1517923030" ref="C82"/>
    <hyperlink r:id="rId246" location="discussion_r1517923030" ref="G82"/>
    <hyperlink r:id="rId247" location="discussion_r1365062177" ref="A83"/>
    <hyperlink r:id="rId248" location="issuecomment-1955720555" ref="C83"/>
    <hyperlink r:id="rId249" location="issuecomment-1955720555" ref="G83"/>
    <hyperlink r:id="rId250" location="issuecomment-1752448257" ref="A84"/>
    <hyperlink r:id="rId251" location="discussion_r1487082121" ref="C84"/>
    <hyperlink r:id="rId252" location="discussion_r1487082121" ref="G84"/>
    <hyperlink r:id="rId253" location="issuecomment-1807527354" ref="A85"/>
    <hyperlink r:id="rId254" location="discussion_r1507440482" ref="C85"/>
    <hyperlink r:id="rId255" location="discussion_r1507440482" ref="G85"/>
    <hyperlink r:id="rId256" location="issuecomment-1809757221" ref="A86"/>
    <hyperlink r:id="rId257" location="issuecomment-2025318864" ref="C86"/>
    <hyperlink r:id="rId258" location="issuecomment-2025318864" ref="G86"/>
    <hyperlink r:id="rId259" location="issuecomment-1801905875" ref="A87"/>
    <hyperlink r:id="rId260" location="issuecomment-2024845557" ref="C87"/>
    <hyperlink r:id="rId261" location="issuecomment-2024845557" ref="G87"/>
    <hyperlink r:id="rId262" location="issuecomment-1828368632" ref="A88"/>
    <hyperlink r:id="rId263" location="issuecomment-2014162418" ref="C88"/>
    <hyperlink r:id="rId264" location="issuecomment-2014162418" ref="G88"/>
    <hyperlink r:id="rId265" location="issuecomment-1793218502" ref="A89"/>
    <hyperlink r:id="rId266" location="issuecomment-1980864682" ref="C89"/>
    <hyperlink r:id="rId267" location="issuecomment-1980864682" ref="G89"/>
    <hyperlink r:id="rId268" location="discussion_r1412686754" ref="A90"/>
    <hyperlink r:id="rId269" location="issuecomment-1999698330" ref="C90"/>
    <hyperlink r:id="rId270" location="issuecomment-1999698330" ref="G90"/>
    <hyperlink r:id="rId271" location="discussion_r1414961306" ref="A91"/>
    <hyperlink r:id="rId272" location="issuecomment-2034063870" ref="C91"/>
    <hyperlink r:id="rId273" location="issuecomment-2034063870" ref="G91"/>
    <hyperlink r:id="rId274" location="discussion_r1417022793" ref="A92"/>
    <hyperlink r:id="rId275" location="discussion_r1530909058" ref="C92"/>
    <hyperlink r:id="rId276" location="discussion_r1530909058" ref="G92"/>
    <hyperlink r:id="rId277" location="issuecomment-1948839059" ref="A93"/>
    <hyperlink r:id="rId278" location="issuecomment-1999943078" ref="C93"/>
    <hyperlink r:id="rId279" location="issuecomment-1999943078" ref="G93"/>
    <hyperlink r:id="rId280" location="issuecomment-1910187080" ref="A94"/>
    <hyperlink r:id="rId281" location="issuecomment-2017657371" ref="C94"/>
    <hyperlink r:id="rId282" location="issuecomment-2017657371" ref="G94"/>
    <hyperlink r:id="rId283" location="issuecomment-1910451341" ref="A95"/>
    <hyperlink r:id="rId284" location="issuecomment-2061398319" ref="C95"/>
    <hyperlink r:id="rId285" location="issuecomment-2061398319" ref="G95"/>
    <hyperlink r:id="rId286" location="issuecomment-1900904418" ref="A96"/>
    <hyperlink r:id="rId287" location="issuecomment-2035787922" ref="C96"/>
    <hyperlink r:id="rId288" location="issuecomment-2035787922" ref="G96"/>
    <hyperlink r:id="rId289" location="issuecomment-1901148987" ref="A97"/>
    <hyperlink r:id="rId290" location="issuecomment-2045255946" ref="C97"/>
    <hyperlink r:id="rId291" location="issuecomment-2045255946" ref="G97"/>
    <hyperlink r:id="rId292" location="issuecomment-1901569192" ref="A98"/>
    <hyperlink r:id="rId293" location="issuecomment-2072113477" ref="C98"/>
    <hyperlink r:id="rId294" location="issuecomment-2072113477" ref="G98"/>
    <hyperlink r:id="rId295" location="issuecomment-1902645890" ref="A99"/>
    <hyperlink r:id="rId296" location="issuecomment-2063787042" ref="C99"/>
    <hyperlink r:id="rId297" location="issuecomment-2063787042" ref="G99"/>
    <hyperlink r:id="rId298" location="issuecomment-1899349398" ref="A100"/>
    <hyperlink r:id="rId299" location="issuecomment-2071595653" ref="C100"/>
    <hyperlink r:id="rId300" location="issuecomment-2071595653" ref="G100"/>
    <hyperlink r:id="rId301" location="issuecomment-1886360767" ref="A101"/>
    <hyperlink r:id="rId302" location="discussion_r1587350621" ref="C101"/>
    <hyperlink r:id="rId303" location="discussion_r1587350621" ref="G101"/>
    <hyperlink r:id="rId304" location="issuecomment-1887960719" ref="A102"/>
    <hyperlink r:id="rId305" location="issuecomment-2155886151" ref="C102"/>
    <hyperlink r:id="rId306" location="issuecomment-2155886151" ref="G102"/>
    <hyperlink r:id="rId307" location="discussion_r1450221819" ref="A103"/>
    <hyperlink r:id="rId308" location="issuecomment-2117027142" ref="C103"/>
    <hyperlink r:id="rId309" location="issuecomment-2117027142" ref="G103"/>
    <hyperlink r:id="rId310" location="issuecomment-1885822780" ref="A104"/>
    <hyperlink r:id="rId311" location="issuecomment-2117397544" ref="C104"/>
    <hyperlink r:id="rId312" location="issuecomment-2117397544" ref="G104"/>
    <hyperlink r:id="rId313" location="discussion_r1443379463" ref="A105"/>
    <hyperlink r:id="rId314" location="issuecomment-2153175265" ref="C105"/>
    <hyperlink r:id="rId315" location="issuecomment-2153175265" ref="G105"/>
    <hyperlink r:id="rId316" location="discussion_r1473516211" ref="A106"/>
    <hyperlink r:id="rId317" location="issuecomment-2156025254" ref="C106"/>
    <hyperlink r:id="rId318" location="issuecomment-2156025254" ref="G106"/>
    <hyperlink r:id="rId319" location="issuecomment-1959829217" ref="A107"/>
    <hyperlink r:id="rId320" location="discussion_r1608892185" ref="C107"/>
    <hyperlink r:id="rId321" location="discussion_r1608892185" ref="G107"/>
    <hyperlink r:id="rId322" location="discussion_r1501899861" ref="A108"/>
    <hyperlink r:id="rId323" location="issuecomment-2088165855" ref="C108"/>
    <hyperlink r:id="rId324" location="issuecomment-2088165855" ref="G108"/>
    <hyperlink r:id="rId325" location="discussion_r1517923030" ref="A109"/>
    <hyperlink r:id="rId326" location="issuecomment-2200855111" ref="C109"/>
    <hyperlink r:id="rId327" location="issuecomment-2200855111" ref="G109"/>
    <hyperlink r:id="rId328" location="issuecomment-1955720555" ref="A110"/>
    <hyperlink r:id="rId329" location="discussion_r1633407705" ref="C110"/>
    <hyperlink r:id="rId330" location="discussion_r1633407705" ref="G110"/>
    <hyperlink r:id="rId331" location="discussion_r1487082121" ref="A111"/>
    <hyperlink r:id="rId332" location="discussion_r1636377158" ref="C111"/>
    <hyperlink r:id="rId333" location="discussion_r1636377158" ref="G111"/>
    <hyperlink r:id="rId334" location="discussion_r1507440482" ref="A112"/>
    <hyperlink r:id="rId335" location="discussion_r1664512005" ref="C112"/>
    <hyperlink r:id="rId336" location="discussion_r1664512005" ref="G112"/>
    <hyperlink r:id="rId337" location="issuecomment-2025318864" ref="A113"/>
    <hyperlink r:id="rId338" location="issuecomment-2173528937" ref="C113"/>
    <hyperlink r:id="rId339" location="issuecomment-2173528937" ref="G113"/>
    <hyperlink r:id="rId340" location="issuecomment-2024845557" ref="A114"/>
    <hyperlink r:id="rId341" location="discussion_r1644509089" ref="C114"/>
    <hyperlink r:id="rId342" location="discussion_r1644509089" ref="G114"/>
    <hyperlink r:id="rId343" location="issuecomment-2014162418" ref="A115"/>
    <hyperlink r:id="rId344" location="issuecomment-2260800234" ref="C115"/>
    <hyperlink r:id="rId345" location="issuecomment-2260800234" ref="G115"/>
    <hyperlink r:id="rId346" location="issuecomment-1980864682" ref="A116"/>
    <hyperlink r:id="rId347" location="issuecomment-2264155036" ref="C116"/>
    <hyperlink r:id="rId348" location="issuecomment-2264155036" ref="G116"/>
    <hyperlink r:id="rId349" location="issuecomment-1999698330" ref="A117"/>
    <hyperlink r:id="rId350" location="issuecomment-2243019123" ref="C117"/>
    <hyperlink r:id="rId351" location="issuecomment-2243019123" ref="G117"/>
    <hyperlink r:id="rId352" location="issuecomment-2034063870" ref="A118"/>
    <hyperlink r:id="rId353" location="issuecomment-2240820847" ref="C118"/>
    <hyperlink r:id="rId354" location="issuecomment-2240820847" ref="G118"/>
    <hyperlink r:id="rId355" location="discussion_r1530909058" ref="A119"/>
    <hyperlink r:id="rId356" location="discussion_r1700879609" ref="C119"/>
    <hyperlink r:id="rId357" location="discussion_r1700879609" ref="G119"/>
    <hyperlink r:id="rId358" location="issuecomment-1999943078" ref="A120"/>
    <hyperlink r:id="rId359" location="discussion_r1722395207" ref="C120"/>
    <hyperlink r:id="rId360" location="discussion_r1722395207" ref="G120"/>
    <hyperlink r:id="rId361" location="issuecomment-2017657371" ref="A121"/>
    <hyperlink r:id="rId362" location="issuecomment-2223578650" ref="C121"/>
    <hyperlink r:id="rId363" location="issuecomment-2223578650" ref="G121"/>
    <hyperlink r:id="rId364" location="issuecomment-2061398319" ref="A122"/>
    <hyperlink r:id="rId365" location="issuecomment-2351227427" ref="C122"/>
    <hyperlink r:id="rId366" location="issuecomment-2351227427" ref="G122"/>
    <hyperlink r:id="rId367" location="issuecomment-2035787922" ref="A123"/>
    <hyperlink r:id="rId368" location="discussion_r1739214016" ref="C123"/>
    <hyperlink r:id="rId369" location="discussion_r1739214016" ref="G123"/>
    <hyperlink r:id="rId370" location="issuecomment-2045255946" ref="A124"/>
    <hyperlink r:id="rId371" location="issuecomment-2298195864" ref="C124"/>
    <hyperlink r:id="rId372" location="issuecomment-2298195864" ref="G124"/>
    <hyperlink r:id="rId373" location="issuecomment-2072113477" ref="A125"/>
    <hyperlink r:id="rId374" location="issuecomment-2289243857" ref="C125"/>
    <hyperlink r:id="rId375" location="issuecomment-2289243857" ref="G125"/>
    <hyperlink r:id="rId376" location="issuecomment-2063787042" ref="A126"/>
    <hyperlink r:id="rId377" location="discussion_r1703897845" ref="C126"/>
    <hyperlink r:id="rId378" location="discussion_r1703897845" ref="G126"/>
    <hyperlink r:id="rId379" location="issuecomment-2071595653" ref="A127"/>
    <hyperlink r:id="rId380" location="discussion_r1796528450" ref="C127"/>
    <hyperlink r:id="rId381" location="discussion_r1796528450" ref="G127"/>
    <hyperlink r:id="rId382" location="discussion_r1587350621" ref="A128"/>
    <hyperlink r:id="rId383" location="issuecomment-2318997943" ref="C128"/>
    <hyperlink r:id="rId384" location="issuecomment-2318997943" ref="G128"/>
    <hyperlink r:id="rId385" location="issuecomment-2155886151" ref="A129"/>
    <hyperlink r:id="rId386" location="issuecomment-2296393650" ref="C129"/>
    <hyperlink r:id="rId387" location="issuecomment-2296393650" ref="G129"/>
    <hyperlink r:id="rId388" location="issuecomment-2117027142" ref="A130"/>
    <hyperlink r:id="rId389" location="discussion_r1735211623" ref="C130"/>
    <hyperlink r:id="rId390" location="discussion_r1735211623" ref="G130"/>
    <hyperlink r:id="rId391" location="issuecomment-2117397544" ref="A131"/>
    <hyperlink r:id="rId392" location="issuecomment-2269215873" ref="C131"/>
    <hyperlink r:id="rId393" location="issuecomment-2269215873" ref="G131"/>
    <hyperlink r:id="rId394" location="issuecomment-2153175265" ref="A132"/>
    <hyperlink r:id="rId395" location="issuecomment-2379969401" ref="C132"/>
    <hyperlink r:id="rId396" location="issuecomment-2379969401" ref="G132"/>
    <hyperlink r:id="rId397" location="issuecomment-2156025254" ref="A133"/>
    <hyperlink r:id="rId398" location="issuecomment-2380293932" ref="C133"/>
    <hyperlink r:id="rId399" location="issuecomment-2380293932" ref="G133"/>
    <hyperlink r:id="rId400" location="discussion_r1608892185" ref="A134"/>
    <hyperlink r:id="rId401" location="issuecomment-2359660979" ref="C134"/>
    <hyperlink r:id="rId402" location="issuecomment-2359660979" ref="G134"/>
    <hyperlink r:id="rId403" location="issuecomment-2088165855" ref="A135"/>
    <hyperlink r:id="rId404" location="issuecomment-2377384077" ref="C135"/>
    <hyperlink r:id="rId405" location="issuecomment-2377384077" ref="G135"/>
    <hyperlink r:id="rId406" location="issuecomment-2200855111" ref="A136"/>
    <hyperlink r:id="rId407" location="issuecomment-2333447134" ref="C136"/>
    <hyperlink r:id="rId408" location="issuecomment-2333447134" ref="G136"/>
    <hyperlink r:id="rId409" location="discussion_r1633407705" ref="A137"/>
    <hyperlink r:id="rId410" location="issuecomment-2341588367" ref="C137"/>
    <hyperlink r:id="rId411" location="issuecomment-2341588367" ref="G137"/>
    <hyperlink r:id="rId412" location="discussion_r1636377158" ref="A138"/>
    <hyperlink r:id="rId413" location="issuecomment-2362192856" ref="C138"/>
    <hyperlink r:id="rId414" location="issuecomment-2362192856" ref="G138"/>
    <hyperlink r:id="rId415" location="issuecomment-2158348729" ref="A139"/>
    <hyperlink r:id="rId416" location="issuecomment-2331351518" ref="C139"/>
    <hyperlink r:id="rId417" location="issuecomment-2331351518" ref="G139"/>
    <hyperlink r:id="rId418" location="discussion_r1664512005" ref="A140"/>
    <hyperlink r:id="rId419" location="issuecomment-2331639363" ref="C140"/>
    <hyperlink r:id="rId420" location="issuecomment-2331639363" ref="G140"/>
    <hyperlink r:id="rId421" location="issuecomment-2173528937" ref="A141"/>
    <hyperlink r:id="rId422" location="issuecomment-2445457916" ref="C141"/>
    <hyperlink r:id="rId423" location="issuecomment-2445457916" ref="G141"/>
    <hyperlink r:id="rId424" location="discussion_r1644509089" ref="A142"/>
    <hyperlink r:id="rId425" location="discussion_r1819880028" ref="C142"/>
    <hyperlink r:id="rId426" location="discussion_r1819880028" ref="G142"/>
    <hyperlink r:id="rId427" location="issuecomment-2260800234" ref="A143"/>
    <hyperlink r:id="rId428" location="issuecomment-2408543634" ref="C143"/>
    <hyperlink r:id="rId429" location="issuecomment-2408543634" ref="G143"/>
    <hyperlink r:id="rId430" location="issuecomment-2264155036" ref="A144"/>
    <hyperlink r:id="rId431" location="issuecomment-2469782864" ref="C144"/>
    <hyperlink r:id="rId432" location="issuecomment-2469782864" ref="G144"/>
    <hyperlink r:id="rId433" location="issuecomment-2243019123" ref="A145"/>
    <hyperlink r:id="rId434" location="discussion_r1856809685" ref="C145"/>
    <hyperlink r:id="rId435" location="discussion_r1856809685" ref="G145"/>
    <hyperlink r:id="rId436" location="issuecomment-2240820847" ref="A146"/>
    <hyperlink r:id="rId437" location="discussion_r1851061100" ref="C146"/>
    <hyperlink r:id="rId438" location="discussion_r1851061100" ref="G146"/>
    <hyperlink r:id="rId439" location="discussion_r1700879609" ref="A147"/>
    <hyperlink r:id="rId440" location="discussion_r1906988397" ref="C147"/>
    <hyperlink r:id="rId441" location="discussion_r1906988397" ref="G147"/>
    <hyperlink r:id="rId442" location="discussion_r1722395207" ref="A148"/>
    <hyperlink r:id="rId443" location="discussion_r1837312269" ref="C148"/>
    <hyperlink r:id="rId444" location="discussion_r1837312269" ref="G148"/>
    <hyperlink r:id="rId445" location="issuecomment-2223578650" ref="A149"/>
    <hyperlink r:id="rId446" location="discussion_r1850770100" ref="C149"/>
    <hyperlink r:id="rId447" location="discussion_r1850770100" ref="G149"/>
    <hyperlink r:id="rId448" location="issuecomment-2351227427" ref="A150"/>
    <hyperlink r:id="rId449" location="issuecomment-2541135317" ref="C150"/>
    <hyperlink r:id="rId450" location="issuecomment-2541135317" ref="G150"/>
    <hyperlink r:id="rId451" location="discussion_r1739214016" ref="A151"/>
    <hyperlink r:id="rId452" location="issuecomment-2541213731" ref="C151"/>
    <hyperlink r:id="rId453" location="issuecomment-2541213731" ref="G151"/>
    <hyperlink r:id="rId454" location="issuecomment-2298195864" ref="A152"/>
    <hyperlink r:id="rId455" location="issuecomment-2624532383" ref="C152"/>
    <hyperlink r:id="rId456" location="issuecomment-2624532383" ref="G152"/>
    <hyperlink r:id="rId457" location="issuecomment-2289243857" ref="A153"/>
    <hyperlink r:id="rId458" location="issuecomment-2663810694" ref="C153"/>
    <hyperlink r:id="rId459" location="issuecomment-2663810694" ref="G153"/>
    <hyperlink r:id="rId460" location="discussion_r1703897845" ref="A154"/>
    <hyperlink r:id="rId461" location="issuecomment-2597614481" ref="C154"/>
    <hyperlink r:id="rId462" location="issuecomment-2597614481" ref="G154"/>
    <hyperlink r:id="rId463" location="discussion_r1796528450" ref="A155"/>
    <hyperlink r:id="rId464" location="discussion_r1923604952" ref="C155"/>
    <hyperlink r:id="rId465" location="discussion_r1923604952" ref="G155"/>
    <hyperlink r:id="rId466" location="issuecomment-2318997943" ref="A156"/>
    <hyperlink r:id="rId467" location="discussion_r1905911491" ref="C156"/>
    <hyperlink r:id="rId468" location="discussion_r1905911491" ref="G156"/>
    <hyperlink r:id="rId469" location="issuecomment-2296393650" ref="A157"/>
    <hyperlink r:id="rId470" location="discussion_r1935940259" ref="C157"/>
    <hyperlink r:id="rId471" location="discussion_r1935940259" ref="G157"/>
    <hyperlink r:id="rId472" location="discussion_r1735211623" ref="A158"/>
    <hyperlink r:id="rId473" location="issuecomment-2670908811" ref="C158"/>
    <hyperlink r:id="rId474" location="issuecomment-2670908811" ref="G158"/>
    <hyperlink r:id="rId475" location="issuecomment-2269215873" ref="A159"/>
    <hyperlink r:id="rId476" location="issuecomment-2668874799" ref="C159"/>
    <hyperlink r:id="rId477" location="issuecomment-2668874799" ref="G159"/>
    <hyperlink r:id="rId478" location="issuecomment-2379969401" ref="A160"/>
    <hyperlink r:id="rId479" location="discussion_r545695302" ref="C160"/>
    <hyperlink r:id="rId480" location="discussion_r545695302" ref="G160"/>
    <hyperlink r:id="rId481" location="issuecomment-2380293932" ref="A161"/>
    <hyperlink r:id="rId482" location="discussion_r543497937" ref="C161"/>
    <hyperlink r:id="rId483" location="discussion_r543497937" ref="G161"/>
    <hyperlink r:id="rId484" location="issuecomment-2359660979" ref="A162"/>
    <hyperlink r:id="rId485" location="discussion_r567018223" ref="C162"/>
    <hyperlink r:id="rId486" location="discussion_r567018223" ref="G162"/>
    <hyperlink r:id="rId487" location="issuecomment-2377384077" ref="A163"/>
    <hyperlink r:id="rId488" location="issuecomment-765626800" ref="C163"/>
    <hyperlink r:id="rId489" location="issuecomment-765626800" ref="G163"/>
    <hyperlink r:id="rId490" location="issuecomment-2333447134" ref="A164"/>
    <hyperlink r:id="rId491" location="issuecomment-756679378" ref="C164"/>
    <hyperlink r:id="rId492" location="issuecomment-756679378" ref="G164"/>
    <hyperlink r:id="rId493" location="issuecomment-2341588367" ref="A165"/>
    <hyperlink r:id="rId494" location="issuecomment-756680553" ref="C165"/>
    <hyperlink r:id="rId495" location="issuecomment-756680553" ref="G165"/>
    <hyperlink r:id="rId496" location="issuecomment-2362192856" ref="A166"/>
    <hyperlink r:id="rId497" location="discussion_r559645850" ref="C166"/>
    <hyperlink r:id="rId498" location="discussion_r559645850" ref="G166"/>
    <hyperlink r:id="rId499" location="issuecomment-2331351518" ref="A167"/>
    <hyperlink r:id="rId500" location="issuecomment-779549912" ref="C167"/>
    <hyperlink r:id="rId501" location="issuecomment-779549912" ref="G167"/>
    <hyperlink r:id="rId502" location="issuecomment-2331639363" ref="A168"/>
    <hyperlink r:id="rId503" location="issuecomment-779550856" ref="C168"/>
    <hyperlink r:id="rId504" location="issuecomment-779550856" ref="G168"/>
    <hyperlink r:id="rId505" location="issuecomment-2445457916" ref="A169"/>
    <hyperlink r:id="rId506" location="issuecomment-797531035" ref="C169"/>
    <hyperlink r:id="rId507" location="issuecomment-797531035" ref="G169"/>
    <hyperlink r:id="rId508" location="discussion_r1793320556" ref="A170"/>
    <hyperlink r:id="rId509" location="issuecomment-801625181" ref="C170"/>
    <hyperlink r:id="rId510" location="issuecomment-801625181" ref="G170"/>
    <hyperlink r:id="rId511" location="discussion_r1819880028" ref="A171"/>
    <hyperlink r:id="rId512" location="issuecomment-801091000" ref="C171"/>
    <hyperlink r:id="rId513" location="issuecomment-801091000" ref="G171"/>
    <hyperlink r:id="rId514" location="issuecomment-2408543634" ref="A172"/>
    <hyperlink r:id="rId515" location="issuecomment-801105402" ref="C172"/>
    <hyperlink r:id="rId516" location="issuecomment-801105402" ref="G172"/>
    <hyperlink r:id="rId517" location="issuecomment-2469782864" ref="A173"/>
    <hyperlink r:id="rId518" location="issuecomment-793654227" ref="C173"/>
    <hyperlink r:id="rId519" location="issuecomment-793654227" ref="G173"/>
    <hyperlink r:id="rId520" location="discussion_r1856809685" ref="A174"/>
    <hyperlink r:id="rId521" location="issuecomment-837020051" ref="C174"/>
    <hyperlink r:id="rId522" location="issuecomment-837020051" ref="G174"/>
    <hyperlink r:id="rId523" location="discussion_r1851061100" ref="A175"/>
    <hyperlink r:id="rId524" location="discussion_r637023560" ref="C175"/>
    <hyperlink r:id="rId525" location="discussion_r637023560" ref="G175"/>
    <hyperlink r:id="rId526" location="discussion_r1906988397" ref="A176"/>
    <hyperlink r:id="rId527" location="issuecomment-856753293" ref="C176"/>
    <hyperlink r:id="rId528" location="issuecomment-856753293" ref="G176"/>
    <hyperlink r:id="rId529" location="discussion_r1837312269" ref="A177"/>
    <hyperlink r:id="rId530" location="issuecomment-848266671" ref="C177"/>
    <hyperlink r:id="rId531" location="issuecomment-848266671" ref="G177"/>
    <hyperlink r:id="rId532" location="discussion_r1826323106" ref="A178"/>
    <hyperlink r:id="rId533" location="issuecomment-837133410" ref="C178"/>
    <hyperlink r:id="rId534" location="issuecomment-837133410" ref="G178"/>
    <hyperlink r:id="rId535" location="discussion_r1850770100" ref="A179"/>
    <hyperlink r:id="rId536" location="issuecomment-835330799" ref="C179"/>
    <hyperlink r:id="rId537" location="issuecomment-835330799" ref="G179"/>
    <hyperlink r:id="rId538" location="issuecomment-2541135317" ref="A180"/>
    <hyperlink r:id="rId539" location="issuecomment-832071725" ref="C180"/>
    <hyperlink r:id="rId540" location="issuecomment-832071725" ref="G180"/>
    <hyperlink r:id="rId541" location="issuecomment-2541213731" ref="A181"/>
    <hyperlink r:id="rId542" location="issuecomment-984087504" ref="C181"/>
    <hyperlink r:id="rId543" location="issuecomment-984087504" ref="G181"/>
    <hyperlink r:id="rId544" location="issuecomment-2624532383" ref="A182"/>
    <hyperlink r:id="rId545" location="issuecomment-985285721" ref="C182"/>
    <hyperlink r:id="rId546" location="issuecomment-985285721" ref="G182"/>
    <hyperlink r:id="rId547" location="issuecomment-2663810694" ref="A183"/>
    <hyperlink r:id="rId548" location="issuecomment-863421123" ref="C183"/>
    <hyperlink r:id="rId549" location="issuecomment-863421123" ref="G183"/>
    <hyperlink r:id="rId550" location="issuecomment-2597614481" ref="A184"/>
    <hyperlink r:id="rId551" location="issuecomment-888678243" ref="C184"/>
    <hyperlink r:id="rId552" location="issuecomment-888678243" ref="G184"/>
    <hyperlink r:id="rId553" location="discussion_r1923604952" ref="A185"/>
    <hyperlink r:id="rId554" location="issuecomment-884843049" ref="C185"/>
    <hyperlink r:id="rId555" location="issuecomment-884843049" ref="G185"/>
    <hyperlink r:id="rId556" location="discussion_r1905911491" ref="A186"/>
    <hyperlink r:id="rId557" location="discussion_r676438744" ref="C186"/>
    <hyperlink r:id="rId558" location="discussion_r676438744" ref="G186"/>
    <hyperlink r:id="rId559" location="discussion_r1935940259" ref="A187"/>
    <hyperlink r:id="rId560" location="issuecomment-884723190" ref="C187"/>
    <hyperlink r:id="rId561" location="issuecomment-884723190" ref="G187"/>
    <hyperlink r:id="rId562" location="issuecomment-2670908811" ref="A188"/>
    <hyperlink r:id="rId563" location="issuecomment-889533506" ref="C188"/>
    <hyperlink r:id="rId564" location="issuecomment-889533506" ref="G188"/>
    <hyperlink r:id="rId565" location="issuecomment-2668874799" ref="A189"/>
    <hyperlink r:id="rId566" location="discussion_r679838147" ref="C189"/>
    <hyperlink r:id="rId567" location="discussion_r679838147" ref="G189"/>
    <hyperlink r:id="rId568" location="discussion_r545695302" ref="A190"/>
    <hyperlink r:id="rId569" location="issuecomment-878619570" ref="C190"/>
    <hyperlink r:id="rId570" location="issuecomment-878619570" ref="G190"/>
    <hyperlink r:id="rId571" location="discussion_r543497937" ref="A191"/>
    <hyperlink r:id="rId572" location="issuecomment-883348633" ref="C191"/>
    <hyperlink r:id="rId573" location="issuecomment-883348633" ref="G191"/>
    <hyperlink r:id="rId574" location="discussion_r567018223" ref="A192"/>
    <hyperlink r:id="rId575" location="issuecomment-874051052" ref="C192"/>
    <hyperlink r:id="rId576" location="issuecomment-874051052" ref="G192"/>
    <hyperlink r:id="rId577" location="issuecomment-765626800" ref="A193"/>
    <hyperlink r:id="rId578" location="issuecomment-900553213" ref="C193"/>
    <hyperlink r:id="rId579" location="issuecomment-900553213" ref="G193"/>
    <hyperlink r:id="rId580" location="issuecomment-756679378" ref="A194"/>
    <hyperlink r:id="rId581" location="issuecomment-910057384" ref="C194"/>
    <hyperlink r:id="rId582" location="issuecomment-910057384" ref="G194"/>
    <hyperlink r:id="rId583" location="issuecomment-756680553" ref="A195"/>
    <hyperlink r:id="rId584" location="issuecomment-913474266" ref="C195"/>
    <hyperlink r:id="rId585" location="issuecomment-913474266" ref="G195"/>
    <hyperlink r:id="rId586" location="discussion_r559645850" ref="A196"/>
    <hyperlink r:id="rId587" location="issuecomment-892080725" ref="C196"/>
    <hyperlink r:id="rId588" location="issuecomment-892080725" ref="G196"/>
    <hyperlink r:id="rId589" location="issuecomment-779549912" ref="A197"/>
    <hyperlink r:id="rId590" location="issuecomment-892088511" ref="C197"/>
    <hyperlink r:id="rId591" location="issuecomment-892088511" ref="G197"/>
    <hyperlink r:id="rId592" location="issuecomment-779550856" ref="A198"/>
    <hyperlink r:id="rId593" location="issuecomment-904955772" ref="C198"/>
    <hyperlink r:id="rId594" location="issuecomment-904955772" ref="G198"/>
    <hyperlink r:id="rId595" location="issuecomment-797531035" ref="A199"/>
    <hyperlink r:id="rId596" location="issuecomment-899635644" ref="C199"/>
    <hyperlink r:id="rId597" location="issuecomment-899635644" ref="G199"/>
    <hyperlink r:id="rId598" location="issuecomment-801625181" ref="A200"/>
    <hyperlink r:id="rId599" location="issuecomment-900114068" ref="C200"/>
    <hyperlink r:id="rId600" location="issuecomment-900114068" ref="G200"/>
    <hyperlink r:id="rId601" location="issuecomment-801091000" ref="A201"/>
    <hyperlink r:id="rId602" location="issuecomment-901702021" ref="C201"/>
    <hyperlink r:id="rId603" location="issuecomment-901702021" ref="G201"/>
    <hyperlink r:id="rId604" location="issuecomment-801105402" ref="A202"/>
    <hyperlink r:id="rId605" location="issuecomment-901720443" ref="C202"/>
    <hyperlink r:id="rId606" location="issuecomment-901720443" ref="G202"/>
    <hyperlink r:id="rId607" location="issuecomment-793654227" ref="A203"/>
    <hyperlink r:id="rId608" location="issuecomment-906414490" ref="C203"/>
    <hyperlink r:id="rId609" location="issuecomment-906414490" ref="G203"/>
    <hyperlink r:id="rId610" location="issuecomment-837020051" ref="A204"/>
    <hyperlink r:id="rId611" location="discussion_r702913628" ref="C204"/>
    <hyperlink r:id="rId612" location="discussion_r702913628" ref="G204"/>
    <hyperlink r:id="rId613" location="discussion_r637023560" ref="A205"/>
    <hyperlink r:id="rId614" location="discussion_r702913729" ref="C205"/>
    <hyperlink r:id="rId615" location="discussion_r702913729" ref="G205"/>
    <hyperlink r:id="rId616" location="issuecomment-856753293" ref="A206"/>
    <hyperlink r:id="rId617" location="issuecomment-924130437" ref="C206"/>
    <hyperlink r:id="rId618" location="issuecomment-924130437" ref="G206"/>
    <hyperlink r:id="rId619" location="issuecomment-848266671" ref="A207"/>
    <hyperlink r:id="rId620" location="issuecomment-924181155" ref="C207"/>
    <hyperlink r:id="rId621" location="issuecomment-924181155" ref="G207"/>
    <hyperlink r:id="rId622" location="issuecomment-837133410" ref="A208"/>
    <hyperlink r:id="rId623" location="issuecomment-932479529" ref="C208"/>
    <hyperlink r:id="rId624" location="issuecomment-932479529" ref="G208"/>
    <hyperlink r:id="rId625" location="issuecomment-835330799" ref="A209"/>
    <hyperlink r:id="rId626" location="issuecomment-920667290" ref="C209"/>
    <hyperlink r:id="rId627" location="issuecomment-920667290" ref="G209"/>
    <hyperlink r:id="rId628" location="issuecomment-832071725" ref="A210"/>
    <hyperlink r:id="rId629" location="discussion_r739843790" ref="C210"/>
    <hyperlink r:id="rId630" location="discussion_r739843790" ref="G210"/>
    <hyperlink r:id="rId631" location="issuecomment-984087504" ref="A211"/>
    <hyperlink r:id="rId632" location="issuecomment-942076500" ref="C211"/>
    <hyperlink r:id="rId633" location="issuecomment-942076500" ref="G211"/>
    <hyperlink r:id="rId634" location="issuecomment-985285721" ref="A212"/>
    <hyperlink r:id="rId635" location="issuecomment-970242570" ref="C212"/>
    <hyperlink r:id="rId636" location="issuecomment-970242570" ref="G212"/>
    <hyperlink r:id="rId637" location="issuecomment-863421123" ref="A213"/>
    <hyperlink r:id="rId638" location="discussion_r779691202" ref="C213"/>
    <hyperlink r:id="rId639" location="discussion_r779691202" ref="G213"/>
    <hyperlink r:id="rId640" location="issuecomment-888678243" ref="A214"/>
    <hyperlink r:id="rId641" location="issuecomment-970508235" ref="C214"/>
    <hyperlink r:id="rId642" location="issuecomment-970508235" ref="G214"/>
    <hyperlink r:id="rId643" location="issuecomment-884843049" ref="A215"/>
    <hyperlink r:id="rId644" location="issuecomment-971788502" ref="C215"/>
    <hyperlink r:id="rId645" location="issuecomment-971788502" ref="G215"/>
    <hyperlink r:id="rId646" location="discussion_r676438744" ref="A216"/>
    <hyperlink r:id="rId647" location="issuecomment-976168691" ref="C216"/>
    <hyperlink r:id="rId648" location="issuecomment-976168691" ref="G216"/>
    <hyperlink r:id="rId649" location="issuecomment-884723190" ref="A217"/>
    <hyperlink r:id="rId650" location="discussion_r793138311" ref="C217"/>
    <hyperlink r:id="rId651" location="discussion_r793138311" ref="G217"/>
    <hyperlink r:id="rId652" location="issuecomment-889533506" ref="A218"/>
    <hyperlink r:id="rId653" location="discussion_r769552260" ref="C218"/>
    <hyperlink r:id="rId654" location="discussion_r769552260" ref="G218"/>
    <hyperlink r:id="rId655" location="discussion_r679838147" ref="A219"/>
    <hyperlink r:id="rId656" location="issuecomment-1000705330" ref="C219"/>
    <hyperlink r:id="rId657" location="issuecomment-1000705330" ref="G219"/>
    <hyperlink r:id="rId658" location="issuecomment-878619570" ref="A220"/>
    <hyperlink r:id="rId659" location="issuecomment-1000097664" ref="C220"/>
    <hyperlink r:id="rId660" location="issuecomment-1000097664" ref="G220"/>
    <hyperlink r:id="rId661" location="issuecomment-883348633" ref="A221"/>
    <hyperlink r:id="rId662" location="issuecomment-1000107533" ref="C221"/>
    <hyperlink r:id="rId663" location="issuecomment-1000107533" ref="G221"/>
    <hyperlink r:id="rId664" location="issuecomment-874051052" ref="A222"/>
    <hyperlink r:id="rId665" location="issuecomment-994836463" ref="C222"/>
    <hyperlink r:id="rId666" location="issuecomment-994836463" ref="G222"/>
    <hyperlink r:id="rId667" location="issuecomment-900553213" ref="A223"/>
    <hyperlink r:id="rId668" location="issuecomment-994966005" ref="C223"/>
    <hyperlink r:id="rId669" location="issuecomment-994966005" ref="G223"/>
    <hyperlink r:id="rId670" location="issuecomment-910057384" ref="A224"/>
    <hyperlink r:id="rId671" location="issuecomment-1009184755" ref="C224"/>
    <hyperlink r:id="rId672" location="issuecomment-1009184755" ref="G224"/>
    <hyperlink r:id="rId673" location="issuecomment-913474266" ref="A225"/>
    <hyperlink r:id="rId674" location="discussion_r782253740" ref="C225"/>
    <hyperlink r:id="rId675" location="discussion_r782253740" ref="G225"/>
    <hyperlink r:id="rId676" location="issuecomment-892080725" ref="A226"/>
    <hyperlink r:id="rId677" location="discussion_r765954024" ref="C226"/>
    <hyperlink r:id="rId678" location="discussion_r765954024" ref="G226"/>
    <hyperlink r:id="rId679" location="issuecomment-892088511" ref="A227"/>
    <hyperlink r:id="rId680" location="issuecomment-1021693435" ref="C227"/>
    <hyperlink r:id="rId681" location="issuecomment-1021693435" ref="G227"/>
    <hyperlink r:id="rId682" location="issuecomment-904955772" ref="A228"/>
    <hyperlink r:id="rId683" location="issuecomment-1004912593" ref="C228"/>
    <hyperlink r:id="rId684" location="issuecomment-1004912593" ref="G228"/>
    <hyperlink r:id="rId685" location="issuecomment-899635644" ref="A229"/>
    <hyperlink r:id="rId686" location="issuecomment-1004920865" ref="C229"/>
    <hyperlink r:id="rId687" location="issuecomment-1004920865" ref="G229"/>
    <hyperlink r:id="rId688" location="issuecomment-900114068" ref="A230"/>
    <hyperlink r:id="rId689" location="discussion_r784065168" ref="C230"/>
    <hyperlink r:id="rId690" location="discussion_r784065168" ref="G230"/>
    <hyperlink r:id="rId691" location="issuecomment-901702021" ref="A231"/>
    <hyperlink r:id="rId692" location="discussion_r807925280" ref="C231"/>
    <hyperlink r:id="rId693" location="discussion_r807925280" ref="G231"/>
    <hyperlink r:id="rId694" location="issuecomment-901720443" ref="A232"/>
    <hyperlink r:id="rId695" location="issuecomment-1026674714" ref="C232"/>
    <hyperlink r:id="rId696" location="issuecomment-1026674714" ref="G232"/>
    <hyperlink r:id="rId697" location="issuecomment-906414490" ref="A233"/>
    <hyperlink r:id="rId698" location="discussion_r842892057" ref="C233"/>
    <hyperlink r:id="rId699" location="discussion_r842892057" ref="G233"/>
    <hyperlink r:id="rId700" location="discussion_r702913628" ref="A234"/>
    <hyperlink r:id="rId701" location="issuecomment-1075108673" ref="C234"/>
    <hyperlink r:id="rId702" location="issuecomment-1075108673" ref="G234"/>
    <hyperlink r:id="rId703" location="discussion_r702913729" ref="A235"/>
    <hyperlink r:id="rId704" location="discussion_r820811558" ref="C235"/>
    <hyperlink r:id="rId705" location="discussion_r820811558" ref="G235"/>
    <hyperlink r:id="rId706" location="issuecomment-924130437" ref="A236"/>
    <hyperlink r:id="rId707" location="issuecomment-1066596746" ref="C236"/>
    <hyperlink r:id="rId708" location="issuecomment-1066596746" ref="G236"/>
    <hyperlink r:id="rId709" location="issuecomment-924181155" ref="A237"/>
    <hyperlink r:id="rId710" location="discussion_r838791044" ref="C237"/>
    <hyperlink r:id="rId711" location="discussion_r838791044" ref="G237"/>
    <hyperlink r:id="rId712" location="issuecomment-932479529" ref="A238"/>
    <hyperlink r:id="rId713" location="discussion_r857226722" ref="C238"/>
    <hyperlink r:id="rId714" location="discussion_r857226722" ref="G238"/>
    <hyperlink r:id="rId715" location="issuecomment-920667290" ref="A239"/>
    <hyperlink r:id="rId716" location="discussion_r842299961" ref="C239"/>
    <hyperlink r:id="rId717" location="discussion_r842299961" ref="G239"/>
    <hyperlink r:id="rId718" location="discussion_r739843790" ref="A240"/>
    <hyperlink r:id="rId719" location="discussion_r877330203" ref="C240"/>
    <hyperlink r:id="rId720" location="discussion_r877330203" ref="G240"/>
    <hyperlink r:id="rId721" location="issuecomment-942076500" ref="A241"/>
    <hyperlink r:id="rId722" location="discussion_r848878274" ref="C241"/>
    <hyperlink r:id="rId723" location="discussion_r848878274" ref="G241"/>
    <hyperlink r:id="rId724" location="issuecomment-970242570" ref="A242"/>
    <hyperlink r:id="rId725" location="issuecomment-1142183578" ref="C242"/>
    <hyperlink r:id="rId726" location="issuecomment-1142183578" ref="G242"/>
    <hyperlink r:id="rId727" location="discussion_r779691202" ref="A243"/>
    <hyperlink r:id="rId728" location="issuecomment-1128036138" ref="C243"/>
    <hyperlink r:id="rId729" location="issuecomment-1128036138" ref="G243"/>
    <hyperlink r:id="rId730" location="issuecomment-970508235" ref="A244"/>
    <hyperlink r:id="rId731" location="issuecomment-1128167602" ref="C244"/>
    <hyperlink r:id="rId732" location="issuecomment-1128167602" ref="G244"/>
    <hyperlink r:id="rId733" location="issuecomment-971788502" ref="A245"/>
    <hyperlink r:id="rId734" location="issuecomment-1126159948" ref="C245"/>
    <hyperlink r:id="rId735" location="issuecomment-1126159948" ref="G245"/>
    <hyperlink r:id="rId736" location="issuecomment-976168691" ref="A246"/>
    <hyperlink r:id="rId737" location="discussion_r870062272" ref="C246"/>
    <hyperlink r:id="rId738" location="discussion_r870062272" ref="G246"/>
    <hyperlink r:id="rId739" location="discussion_r793138311" ref="A247"/>
    <hyperlink r:id="rId740" location="issuecomment-1137141845" ref="C247"/>
    <hyperlink r:id="rId741" location="issuecomment-1137141845" ref="G247"/>
    <hyperlink r:id="rId742" location="discussion_r769552260" ref="A248"/>
    <hyperlink r:id="rId743" location="issuecomment-1128161665" ref="C248"/>
    <hyperlink r:id="rId744" location="issuecomment-1128161665" ref="G248"/>
    <hyperlink r:id="rId745" location="issuecomment-1000705330" ref="A249"/>
    <hyperlink r:id="rId746" location="issuecomment-1130487309" ref="C249"/>
    <hyperlink r:id="rId747" location="issuecomment-1130487309" ref="G249"/>
    <hyperlink r:id="rId748" location="issuecomment-1000097664" ref="A250"/>
    <hyperlink r:id="rId749" location="issuecomment-1144002961" ref="C250"/>
    <hyperlink r:id="rId750" location="issuecomment-1144002961" ref="G250"/>
    <hyperlink r:id="rId751" location="issuecomment-1000107533" ref="A251"/>
    <hyperlink r:id="rId752" location="issuecomment-1135152219" ref="C251"/>
    <hyperlink r:id="rId753" location="issuecomment-1135152219" ref="G251"/>
    <hyperlink r:id="rId754" location="issuecomment-994836463" ref="A252"/>
    <hyperlink r:id="rId755" location="issuecomment-1125506624" ref="C252"/>
    <hyperlink r:id="rId756" location="issuecomment-1125506624" ref="G252"/>
    <hyperlink r:id="rId757" location="issuecomment-994966005" ref="A253"/>
    <hyperlink r:id="rId758" location="issuecomment-1126018662" ref="C253"/>
    <hyperlink r:id="rId759" location="issuecomment-1126018662" ref="G253"/>
    <hyperlink r:id="rId760" location="issuecomment-1009184755" ref="A254"/>
    <hyperlink r:id="rId761" location="issuecomment-1127888784" ref="C254"/>
    <hyperlink r:id="rId762" location="issuecomment-1127888784" ref="G254"/>
    <hyperlink r:id="rId763" location="discussion_r782253740" ref="A255"/>
    <hyperlink r:id="rId764" location="issuecomment-1149608974" ref="C255"/>
    <hyperlink r:id="rId765" location="issuecomment-1149608974" ref="G255"/>
    <hyperlink r:id="rId766" location="discussion_r765954024" ref="A256"/>
    <hyperlink r:id="rId767" location="issuecomment-1152400891" ref="C256"/>
    <hyperlink r:id="rId768" location="issuecomment-1152400891" ref="G256"/>
    <hyperlink r:id="rId769" location="issuecomment-1021693435" ref="A257"/>
    <hyperlink r:id="rId770" location="discussion_r921977280" ref="C257"/>
    <hyperlink r:id="rId771" location="discussion_r921977280" ref="G257"/>
    <hyperlink r:id="rId772" location="issuecomment-1004912593" ref="A258"/>
    <hyperlink r:id="rId773" location="issuecomment-1185949928" ref="C258"/>
    <hyperlink r:id="rId774" location="issuecomment-1185949928" ref="G258"/>
    <hyperlink r:id="rId775" location="issuecomment-1004920865" ref="A259"/>
    <hyperlink r:id="rId776" location="issuecomment-1187325320" ref="C259"/>
    <hyperlink r:id="rId777" location="issuecomment-1187325320" ref="G259"/>
    <hyperlink r:id="rId778" location="discussion_r784065168" ref="A260"/>
    <hyperlink r:id="rId779" location="issuecomment-1147935372" ref="C260"/>
    <hyperlink r:id="rId780" location="issuecomment-1147935372" ref="G260"/>
    <hyperlink r:id="rId781" location="discussion_r807925280" ref="A261"/>
    <hyperlink r:id="rId782" location="discussion_r902025727" ref="C261"/>
    <hyperlink r:id="rId783" location="discussion_r902025727" ref="G261"/>
    <hyperlink r:id="rId784" location="issuecomment-1026674714" ref="A262"/>
    <hyperlink r:id="rId785" location="discussion_r889603761" ref="C262"/>
    <hyperlink r:id="rId786" location="discussion_r889603761" ref="G262"/>
    <hyperlink r:id="rId787" location="discussion_r842892057" ref="A263"/>
    <hyperlink r:id="rId788" location="issuecomment-1191480627" ref="C263"/>
    <hyperlink r:id="rId789" location="issuecomment-1191480627" ref="G263"/>
    <hyperlink r:id="rId790" location="issuecomment-1075108673" ref="A264"/>
    <hyperlink r:id="rId791" location="issuecomment-1191482467" ref="C264"/>
    <hyperlink r:id="rId792" location="issuecomment-1191482467" ref="G264"/>
    <hyperlink r:id="rId793" location="discussion_r820811558" ref="A265"/>
    <hyperlink r:id="rId794" location="issuecomment-1196792652" ref="C265"/>
    <hyperlink r:id="rId795" location="issuecomment-1196792652" ref="G265"/>
    <hyperlink r:id="rId796" location="issuecomment-1066596746" ref="A266"/>
    <hyperlink r:id="rId797" location="issuecomment-1184570444" ref="C266"/>
    <hyperlink r:id="rId798" location="issuecomment-1184570444" ref="G266"/>
    <hyperlink r:id="rId799" location="discussion_r838791044" ref="A267"/>
    <hyperlink r:id="rId800" location="issuecomment-1184585892" ref="C267"/>
    <hyperlink r:id="rId801" location="issuecomment-1184585892" ref="G267"/>
    <hyperlink r:id="rId802" location="discussion_r857226722" ref="A268"/>
    <hyperlink r:id="rId803" location="issuecomment-1194626810" ref="C268"/>
    <hyperlink r:id="rId804" location="issuecomment-1194626810" ref="G268"/>
    <hyperlink r:id="rId805" location="discussion_r842299961" ref="A269"/>
    <hyperlink r:id="rId806" location="issuecomment-1195475937" ref="C269"/>
    <hyperlink r:id="rId807" location="issuecomment-1195475937" ref="G269"/>
    <hyperlink r:id="rId808" location="discussion_r877330203" ref="A270"/>
    <hyperlink r:id="rId809" location="issuecomment-1192619108" ref="C270"/>
    <hyperlink r:id="rId810" location="issuecomment-1192619108" ref="G270"/>
    <hyperlink r:id="rId811" location="discussion_r848878274" ref="A271"/>
    <hyperlink r:id="rId812" location="issuecomment-1194310216" ref="C271"/>
    <hyperlink r:id="rId813" location="issuecomment-1194310216" ref="G271"/>
    <hyperlink r:id="rId814" location="issuecomment-1142183578" ref="A272"/>
    <hyperlink r:id="rId815" location="discussion_r949989262" ref="C272"/>
    <hyperlink r:id="rId816" location="discussion_r949989262" ref="G272"/>
    <hyperlink r:id="rId817" location="issuecomment-1128036138" ref="A273"/>
    <hyperlink r:id="rId818" location="issuecomment-1244930705" ref="C273"/>
    <hyperlink r:id="rId819" location="issuecomment-1244930705" ref="G273"/>
    <hyperlink r:id="rId820" location="issuecomment-1128167602" ref="A274"/>
    <hyperlink r:id="rId821" location="issuecomment-1224500795" ref="C274"/>
    <hyperlink r:id="rId822" location="issuecomment-1224500795" ref="G274"/>
    <hyperlink r:id="rId823" location="issuecomment-1126159948" ref="A275"/>
    <hyperlink r:id="rId824" location="issuecomment-1230715670" ref="C275"/>
    <hyperlink r:id="rId825" location="issuecomment-1230715670" ref="G275"/>
    <hyperlink r:id="rId826" location="discussion_r870062272" ref="A276"/>
    <hyperlink r:id="rId827" location="issuecomment-1209889538" ref="C276"/>
    <hyperlink r:id="rId828" location="issuecomment-1209889538" ref="G276"/>
    <hyperlink r:id="rId829" location="issuecomment-1137141845" ref="A277"/>
    <hyperlink r:id="rId830" location="issuecomment-1209892350" ref="C277"/>
    <hyperlink r:id="rId831" location="issuecomment-1209892350" ref="G277"/>
    <hyperlink r:id="rId832" location="issuecomment-1128161665" ref="A278"/>
    <hyperlink r:id="rId833" location="issuecomment-1228712092" ref="C278"/>
    <hyperlink r:id="rId834" location="issuecomment-1228712092" ref="G278"/>
    <hyperlink r:id="rId835" location="issuecomment-1130487309" ref="A279"/>
    <hyperlink r:id="rId836" location="issuecomment-1216415091" ref="C279"/>
    <hyperlink r:id="rId837" location="issuecomment-1216415091" ref="G279"/>
    <hyperlink r:id="rId838" location="issuecomment-1144002961" ref="A280"/>
    <hyperlink r:id="rId839" location="issuecomment-1215832526" ref="C280"/>
    <hyperlink r:id="rId840" location="issuecomment-1215832526" ref="G280"/>
    <hyperlink r:id="rId841" location="issuecomment-1135152219" ref="A281"/>
    <hyperlink r:id="rId842" location="issuecomment-1242158688" ref="C281"/>
    <hyperlink r:id="rId843" location="issuecomment-1242158688" ref="G281"/>
    <hyperlink r:id="rId844" location="issuecomment-1125506624" ref="A282"/>
    <hyperlink r:id="rId845" location="issuecomment-1248920649" ref="C282"/>
    <hyperlink r:id="rId846" location="issuecomment-1248920649" ref="G282"/>
    <hyperlink r:id="rId847" location="issuecomment-1126018662" ref="A283"/>
    <hyperlink r:id="rId848" location="discussion_r970362124" ref="C283"/>
    <hyperlink r:id="rId849" location="discussion_r970362124" ref="G283"/>
    <hyperlink r:id="rId850" location="issuecomment-1127888784" ref="A284"/>
    <hyperlink r:id="rId851" location="issuecomment-1241109917" ref="C284"/>
    <hyperlink r:id="rId852" location="issuecomment-1241109917" ref="G284"/>
    <hyperlink r:id="rId853" location="issuecomment-1149608974" ref="A285"/>
    <hyperlink r:id="rId854" location="issuecomment-1242259347" ref="C285"/>
    <hyperlink r:id="rId855" location="issuecomment-1242259347" ref="G285"/>
    <hyperlink r:id="rId856" location="issuecomment-1152400891" ref="A286"/>
    <hyperlink r:id="rId857" location="issuecomment-1269341227" ref="C286"/>
    <hyperlink r:id="rId858" location="issuecomment-1269341227" ref="G286"/>
    <hyperlink r:id="rId859" location="discussion_r921977280" ref="A287"/>
    <hyperlink r:id="rId860" location="discussion_r983726151" ref="C287"/>
    <hyperlink r:id="rId861" location="discussion_r983726151" ref="G287"/>
    <hyperlink r:id="rId862" location="issuecomment-1185949928" ref="A288"/>
    <hyperlink r:id="rId863" location="discussion_r983737173" ref="C288"/>
    <hyperlink r:id="rId864" location="discussion_r983737173" ref="G288"/>
    <hyperlink r:id="rId865" location="issuecomment-1187325320" ref="A289"/>
    <hyperlink r:id="rId866" location="issuecomment-1279388288" ref="C289"/>
    <hyperlink r:id="rId867" location="issuecomment-1279388288" ref="G289"/>
    <hyperlink r:id="rId868" location="issuecomment-1147935372" ref="A290"/>
    <hyperlink r:id="rId869" location="issuecomment-1279399748" ref="C290"/>
    <hyperlink r:id="rId870" location="issuecomment-1279399748" ref="G290"/>
    <hyperlink r:id="rId871" location="discussion_r902025727" ref="A291"/>
    <hyperlink r:id="rId872" location="issuecomment-1291473303" ref="C291"/>
    <hyperlink r:id="rId873" location="issuecomment-1291473303" ref="G291"/>
    <hyperlink r:id="rId874" location="discussion_r889603761" ref="A292"/>
    <hyperlink r:id="rId875" location="discussion_r1037213727" ref="C292"/>
    <hyperlink r:id="rId876" location="discussion_r1037213727" ref="G292"/>
    <hyperlink r:id="rId877" location="issuecomment-1191480627" ref="A293"/>
    <hyperlink r:id="rId878" location="issuecomment-1286822344" ref="C293"/>
    <hyperlink r:id="rId879" location="issuecomment-1286822344" ref="G293"/>
    <hyperlink r:id="rId880" location="issuecomment-1191482467" ref="A294"/>
    <hyperlink r:id="rId881" location="issuecomment-1285849085" ref="C294"/>
    <hyperlink r:id="rId882" location="issuecomment-1285849085" ref="G294"/>
    <hyperlink r:id="rId883" location="issuecomment-1196792652" ref="A295"/>
    <hyperlink r:id="rId884" location="discussion_r1036121644" ref="C295"/>
    <hyperlink r:id="rId885" location="discussion_r1036121644" ref="G295"/>
    <hyperlink r:id="rId886" location="issuecomment-1184570444" ref="A296"/>
    <hyperlink r:id="rId887" location="discussion_r1034190905" ref="C296"/>
    <hyperlink r:id="rId888" location="discussion_r1034190905" ref="G296"/>
    <hyperlink r:id="rId889" location="issuecomment-1184585892" ref="A297"/>
    <hyperlink r:id="rId890" location="discussion_r1045712585" ref="C297"/>
    <hyperlink r:id="rId891" location="discussion_r1045712585" ref="G297"/>
    <hyperlink r:id="rId892" location="issuecomment-1194626810" ref="A298"/>
    <hyperlink r:id="rId893" location="issuecomment-1326875286" ref="C298"/>
    <hyperlink r:id="rId894" location="issuecomment-1326875286" ref="G298"/>
    <hyperlink r:id="rId895" location="issuecomment-1195475937" ref="A299"/>
    <hyperlink r:id="rId896" location="discussion_r1034043175" ref="C299"/>
    <hyperlink r:id="rId897" location="discussion_r1034043175" ref="G299"/>
    <hyperlink r:id="rId898" location="issuecomment-1192619108" ref="A300"/>
    <hyperlink r:id="rId899" location="discussion_r1034925705" ref="C300"/>
    <hyperlink r:id="rId900" location="discussion_r1034925705" ref="G300"/>
    <hyperlink r:id="rId901" location="issuecomment-1194310216" ref="A301"/>
    <hyperlink r:id="rId902" location="discussion_r1016940226" ref="C301"/>
    <hyperlink r:id="rId903" location="discussion_r1016940226" ref="G301"/>
    <hyperlink r:id="rId904" location="discussion_r949989262" ref="A302"/>
    <hyperlink r:id="rId905" location="issuecomment-1308808154" ref="C302"/>
    <hyperlink r:id="rId906" location="issuecomment-1308808154" ref="G302"/>
    <hyperlink r:id="rId907" location="issuecomment-1244930705" ref="A303"/>
    <hyperlink r:id="rId908" location="discussion_r1037122436" ref="C303"/>
    <hyperlink r:id="rId909" location="discussion_r1037122436" ref="G303"/>
    <hyperlink r:id="rId910" location="issuecomment-1224500795" ref="A304"/>
    <hyperlink r:id="rId911" location="issuecomment-1339101503" ref="C304"/>
    <hyperlink r:id="rId912" location="issuecomment-1339101503" ref="G304"/>
    <hyperlink r:id="rId913" location="issuecomment-1230715670" ref="A305"/>
    <hyperlink r:id="rId914" location="issuecomment-1361050002" ref="C305"/>
    <hyperlink r:id="rId915" location="issuecomment-1361050002" ref="G305"/>
    <hyperlink r:id="rId916" location="issuecomment-1209889538" ref="A306"/>
    <hyperlink r:id="rId917" location="discussion_r1050858002" ref="C306"/>
    <hyperlink r:id="rId918" location="discussion_r1050858002" ref="G306"/>
    <hyperlink r:id="rId919" location="issuecomment-1209892350" ref="A307"/>
    <hyperlink r:id="rId920" location="issuecomment-1357892871" ref="C307"/>
    <hyperlink r:id="rId921" location="issuecomment-1357892871" ref="G307"/>
    <hyperlink r:id="rId922" location="issuecomment-1228712092" ref="A308"/>
    <hyperlink r:id="rId923" location="issuecomment-1358114979" ref="C308"/>
    <hyperlink r:id="rId924" location="issuecomment-1358114979" ref="G308"/>
    <hyperlink r:id="rId925" location="issuecomment-1216415091" ref="A309"/>
    <hyperlink r:id="rId926" location="discussion_r602729163" ref="C309"/>
    <hyperlink r:id="rId927" location="issuecomment-2670908811" ref="G309"/>
    <hyperlink r:id="rId928" location="issuecomment-1215832526" ref="A310"/>
    <hyperlink r:id="rId929" location="issuecomment-818063376" ref="C310"/>
    <hyperlink r:id="rId930" location="issuecomment-2668874799" ref="G310"/>
    <hyperlink r:id="rId931" location="issuecomment-1257712016" ref="A311"/>
    <hyperlink r:id="rId932" location="issuecomment-850596423" ref="C311"/>
    <hyperlink r:id="rId933" location="discussion_r1974730734" ref="G311"/>
    <hyperlink r:id="rId934" location="issuecomment-1215832526" ref="A312"/>
    <hyperlink r:id="rId935" location="issuecomment-850776321" ref="C312"/>
    <hyperlink r:id="rId936" location="issuecomment-2738116384" ref="G312"/>
    <hyperlink r:id="rId937" location="issuecomment-1242158688" ref="A313"/>
    <hyperlink r:id="rId938" location="issuecomment-870014559" ref="C313"/>
    <hyperlink r:id="rId939" location="issuecomment-2750462330" ref="G313"/>
    <hyperlink r:id="rId940" location="issuecomment-1248920649" ref="A314"/>
    <hyperlink r:id="rId941" location="issuecomment-849190817" ref="C314"/>
    <hyperlink r:id="rId942" location="issuecomment-2730449028" ref="G314"/>
    <hyperlink r:id="rId943" location="discussion_r970362124" ref="A315"/>
    <hyperlink r:id="rId944" location="issuecomment-966653132" ref="C315"/>
    <hyperlink r:id="rId945" location="discussion_r2006483914" ref="G315"/>
    <hyperlink r:id="rId946" location="issuecomment-1241109917" ref="A316"/>
    <hyperlink r:id="rId947" location="issuecomment-966699322" ref="C316"/>
    <hyperlink r:id="rId948" location="discussion_r2008301713" ref="G316"/>
    <hyperlink r:id="rId949" location="issuecomment-1242259347" ref="A317"/>
    <hyperlink r:id="rId950" location="discussion_r784963783" ref="C317"/>
    <hyperlink r:id="rId951" location="discussion_r1977424201" ref="G317"/>
    <hyperlink r:id="rId952" location="issuecomment-1269341227" ref="A318"/>
    <hyperlink r:id="rId953" location="discussion_r787954027" ref="C318"/>
    <hyperlink r:id="rId954" location="issuecomment-2703653274" ref="G318"/>
    <hyperlink r:id="rId955" location="discussion_r983726151" ref="A319"/>
    <hyperlink r:id="rId956" location="issuecomment-1246339422" ref="C319"/>
    <hyperlink r:id="rId957" location="issuecomment-2693948041" ref="G319"/>
    <hyperlink r:id="rId958" location="discussion_r983737173" ref="A320"/>
    <hyperlink r:id="rId959" location="discussion_r836569925" ref="C320"/>
    <hyperlink r:id="rId960" location="issuecomment-2795597092" ref="G320"/>
    <hyperlink r:id="rId961" location="issuecomment-1279388288" ref="A321"/>
    <hyperlink r:id="rId962" location="issuecomment-1120316930" ref="C321"/>
    <hyperlink r:id="rId963" location="discussion_r2049478574" ref="G321"/>
    <hyperlink r:id="rId964" location="issuecomment-1279399748" ref="A322"/>
    <hyperlink r:id="rId965" location="issuecomment-1148346047" ref="C322"/>
    <hyperlink r:id="rId966" location="issuecomment-2888992525" ref="G322"/>
    <hyperlink r:id="rId967" location="issuecomment-1291473303" ref="A323"/>
    <hyperlink r:id="rId968" location="issuecomment-1261199307" ref="C323"/>
    <hyperlink r:id="rId969" location="issuecomment-2889053424" ref="G323"/>
    <hyperlink r:id="rId970" location="discussion_r1037213727" ref="A324"/>
    <hyperlink r:id="rId971" location="issuecomment-1261201874" ref="C324"/>
    <hyperlink r:id="rId972" location="issuecomment-2889218109" ref="G324"/>
    <hyperlink r:id="rId973" location="issuecomment-1286822344" ref="A325"/>
    <hyperlink r:id="rId974" location="discussion_r1234043008" ref="C325"/>
    <hyperlink r:id="rId975" location="issuecomment-2884484097" ref="G325"/>
    <hyperlink r:id="rId976" location="issuecomment-1285849085" ref="A326"/>
    <hyperlink r:id="rId977" location="issuecomment-1986490667" ref="C326"/>
    <hyperlink r:id="rId978" location="discussion_r2096028845" ref="G326"/>
    <hyperlink r:id="rId979" location="discussion_r1036121644" ref="A327"/>
    <hyperlink r:id="rId980" location="issuecomment-1638520839" ref="C327"/>
    <hyperlink r:id="rId981" location="discussion_r2098766914" ref="G327"/>
    <hyperlink r:id="rId982" location="discussion_r1034190905" ref="A328"/>
    <hyperlink r:id="rId983" location="issuecomment-1824354502" ref="C328"/>
    <hyperlink r:id="rId984" location="discussion_r2103548556" ref="G328"/>
    <hyperlink r:id="rId985" location="discussion_r1045712585" ref="A329"/>
    <hyperlink r:id="rId986" location="discussion_r1455741535" ref="C329"/>
    <hyperlink r:id="rId987" location="issuecomment-2887722760" ref="G329"/>
    <hyperlink r:id="rId988" location="issuecomment-1326875286" ref="A330"/>
    <hyperlink r:id="rId989" location="discussion_r1608891107" ref="C330"/>
    <hyperlink r:id="rId990" location="issuecomment-3004356312" ref="G330"/>
    <hyperlink r:id="rId991" location="discussion_r1034043175" ref="A331"/>
    <hyperlink r:id="rId992" location="discussion_r1717040579" ref="C331"/>
    <hyperlink r:id="rId993" location="discussion_r2150341785" ref="G331"/>
    <hyperlink r:id="rId994" location="discussion_r1034925705" ref="A332"/>
    <hyperlink r:id="rId995" location="issuecomment-2329949783" ref="C332"/>
    <hyperlink r:id="rId996" location="discussion_r2157012512" ref="G332"/>
    <hyperlink r:id="rId997" location="discussion_r1016940226" ref="A333"/>
    <hyperlink r:id="rId998" location="issuecomment-2402654032" ref="C333"/>
    <hyperlink r:id="rId999" location="issuecomment-3134461611" ref="G333"/>
    <hyperlink r:id="rId1000" location="issuecomment-1308808154" ref="A334"/>
    <hyperlink r:id="rId1001" location="discussion_r1841150927" ref="C334"/>
    <hyperlink r:id="rId1002" location="issuecomment-3050388713" ref="G334"/>
    <hyperlink r:id="rId1003" location="discussion_r1037122436" ref="A335"/>
    <hyperlink r:id="rId1004" location="issuecomment-2569139239" ref="C335"/>
    <hyperlink r:id="rId1005" location="discussion_r2226684249" ref="G335"/>
    <hyperlink r:id="rId1006" location="issuecomment-1339101503" ref="A336"/>
    <hyperlink r:id="rId1007" location="issuecomment-3037435884" ref="G336"/>
    <hyperlink r:id="rId1008" location="issuecomment-1361050002" ref="A337"/>
    <hyperlink r:id="rId1009" location="issuecomment-3104643517" ref="G337"/>
    <hyperlink r:id="rId1010" location="discussion_r1050858002" ref="A338"/>
    <hyperlink r:id="rId1011" location="discussion_r2294739847" ref="G338"/>
    <hyperlink r:id="rId1012" location="issuecomment-1357892871" ref="A339"/>
    <hyperlink r:id="rId1013" location="discussion_r2279534507" ref="G339"/>
    <hyperlink r:id="rId1014" location="issuecomment-1358114979" ref="A340"/>
    <hyperlink r:id="rId1015" location="discussion_r2380229424" ref="G340"/>
    <hyperlink r:id="rId1016" location="issuecomment-3314117225" ref="G341"/>
    <hyperlink r:id="rId1017" location="issuecomment-3274242189" ref="G342"/>
    <hyperlink r:id="rId1018" location="discussion_r2349918819" ref="G343"/>
    <hyperlink r:id="rId1019" location="discussion_r2353846205" ref="G344"/>
  </hyperlinks>
  <drawing r:id="rId102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  <col customWidth="1" min="2" max="2" width="31.88"/>
  </cols>
  <sheetData>
    <row r="1">
      <c r="A1" s="10" t="s">
        <v>413</v>
      </c>
      <c r="B1" s="2" t="s">
        <v>414</v>
      </c>
    </row>
    <row r="2">
      <c r="A2" s="11" t="s">
        <v>2</v>
      </c>
      <c r="B2" s="7" t="str">
        <f>IF(A2=Label!A2,Label!B2,"not yet")</f>
        <v>Focus Does Not Work</v>
      </c>
    </row>
    <row r="3">
      <c r="A3" s="12" t="s">
        <v>4</v>
      </c>
      <c r="B3" s="7" t="str">
        <f>IF(A3=Label!A3,Label!B3,"not yet")</f>
        <v>OutOfScope: Duplicates</v>
      </c>
    </row>
    <row r="4">
      <c r="A4" s="12" t="s">
        <v>6</v>
      </c>
      <c r="B4" s="7" t="str">
        <f>IF(A4=Label!A4,Label!B4,"not yet")</f>
        <v>Size of Page/Header Changed</v>
      </c>
    </row>
    <row r="5">
      <c r="A5" s="12" t="s">
        <v>8</v>
      </c>
      <c r="B5" s="7" t="str">
        <f>IF(A5=Label!A5,Label!B5,"not yet")</f>
        <v>OutOfScope: Cannot access</v>
      </c>
    </row>
    <row r="6">
      <c r="A6" s="12" t="s">
        <v>10</v>
      </c>
      <c r="B6" s="7" t="str">
        <f>IF(A6=Label!A6,Label!B6,"not yet")</f>
        <v>Text Size Changed</v>
      </c>
    </row>
    <row r="7">
      <c r="A7" s="12" t="s">
        <v>12</v>
      </c>
      <c r="B7" s="7" t="str">
        <f>IF(A7=Label!A7,Label!B7,"not yet")</f>
        <v>OutOfScope: Duplicates</v>
      </c>
    </row>
    <row r="8">
      <c r="A8" s="12" t="s">
        <v>13</v>
      </c>
      <c r="B8" s="7" t="str">
        <f>IF(A8=Label!A8,Label!B8,"not yet")</f>
        <v>Layout Shifted</v>
      </c>
    </row>
    <row r="9">
      <c r="A9" s="12" t="s">
        <v>15</v>
      </c>
      <c r="B9" s="7" t="str">
        <f>IF(A9=Label!A9,Label!B9,"not yet")</f>
        <v>OutOfScope: Duplicates</v>
      </c>
    </row>
    <row r="10">
      <c r="A10" s="12" t="s">
        <v>16</v>
      </c>
      <c r="B10" s="7" t="str">
        <f>IF(A10=Label!A10,Label!B10,"not yet")</f>
        <v>OutOfScope: Duplicates</v>
      </c>
    </row>
    <row r="11">
      <c r="A11" s="12" t="s">
        <v>17</v>
      </c>
      <c r="B11" s="7" t="str">
        <f>IF(A11=Label!A11,Label!B11,"not yet")</f>
        <v>Border Disappeared</v>
      </c>
    </row>
    <row r="12">
      <c r="A12" s="12" t="s">
        <v>19</v>
      </c>
      <c r="B12" s="7" t="str">
        <f>IF(A12=Label!A12,Label!B12,"not yet")</f>
        <v>OutOfScope: New Story</v>
      </c>
    </row>
    <row r="13">
      <c r="A13" s="12" t="s">
        <v>21</v>
      </c>
      <c r="B13" s="7" t="str">
        <f>IF(A13=Label!A13,Label!B13,"not yet")</f>
        <v>Image Replaced</v>
      </c>
    </row>
    <row r="14">
      <c r="A14" s="12" t="s">
        <v>24</v>
      </c>
      <c r="B14" s="7" t="str">
        <f>IF(A14=Label!A14,Label!B14,"not yet")</f>
        <v>OutOfScope: Duplicates</v>
      </c>
    </row>
    <row r="15">
      <c r="A15" s="12" t="s">
        <v>25</v>
      </c>
      <c r="B15" s="7" t="str">
        <f>IF(A15=Label!A15,Label!B15,"not yet")</f>
        <v>Text Disappeared</v>
      </c>
    </row>
    <row r="16">
      <c r="A16" s="12" t="s">
        <v>28</v>
      </c>
      <c r="B16" s="7" t="str">
        <f>IF(A16=Label!A16,Label!B16,"not yet")</f>
        <v>Layout Shifted</v>
      </c>
    </row>
    <row r="17">
      <c r="A17" s="12" t="s">
        <v>29</v>
      </c>
      <c r="B17" s="7" t="str">
        <f>IF(A17=Label!A17,Label!B17,"not yet")</f>
        <v>OutOfScope: Duplicates</v>
      </c>
    </row>
    <row r="18">
      <c r="A18" s="12" t="s">
        <v>30</v>
      </c>
      <c r="B18" s="7" t="str">
        <f>IF(A18=Label!A18,Label!B18,"not yet")</f>
        <v>Undefined/Wrong State is Shown</v>
      </c>
    </row>
    <row r="19">
      <c r="A19" s="12" t="s">
        <v>32</v>
      </c>
      <c r="B19" s="7" t="str">
        <f>IF(A19=Label!A19,Label!B19,"not yet")</f>
        <v>OutOfScope: New Story</v>
      </c>
    </row>
    <row r="20">
      <c r="A20" s="12" t="s">
        <v>33</v>
      </c>
      <c r="B20" s="7" t="str">
        <f>IF(A20=Label!A20,Label!B20,"not yet")</f>
        <v>Default State is Changed</v>
      </c>
    </row>
    <row r="21">
      <c r="A21" s="12" t="s">
        <v>35</v>
      </c>
      <c r="B21" s="7" t="str">
        <f>IF(A21=Label!A21,Label!B21,"not yet")</f>
        <v>OutOfScope: New Story</v>
      </c>
    </row>
    <row r="22">
      <c r="A22" s="12" t="s">
        <v>36</v>
      </c>
      <c r="B22" s="7" t="str">
        <f>IF(A22=Label!A22,Label!B22,"not yet")</f>
        <v>OutOfScope: Duplicates</v>
      </c>
    </row>
    <row r="23">
      <c r="A23" s="12" t="s">
        <v>37</v>
      </c>
      <c r="B23" s="7" t="str">
        <f>IF(A23=Label!A23,Label!B23,"not yet")</f>
        <v>OutOfScope: Cannot access</v>
      </c>
    </row>
    <row r="24">
      <c r="A24" s="12" t="s">
        <v>38</v>
      </c>
      <c r="B24" s="7" t="str">
        <f>IF(A24=Label!A24,Label!B24,"not yet")</f>
        <v>OutOfScope: New Story</v>
      </c>
    </row>
    <row r="25">
      <c r="A25" s="12" t="s">
        <v>39</v>
      </c>
      <c r="B25" s="7" t="str">
        <f>IF(A25=Label!A25,Label!B25,"not yet")</f>
        <v>OutOfScope: New Story</v>
      </c>
    </row>
    <row r="26">
      <c r="A26" s="12" t="s">
        <v>40</v>
      </c>
      <c r="B26" s="7" t="str">
        <f>IF(A26=Label!A26,Label!B26,"not yet")</f>
        <v>OutOfScope: Duplicates</v>
      </c>
    </row>
    <row r="27">
      <c r="A27" s="12" t="s">
        <v>41</v>
      </c>
      <c r="B27" s="7" t="str">
        <f>IF(A27=Label!A27,Label!B27,"not yet")</f>
        <v>OutOfScope: Duplicates</v>
      </c>
    </row>
    <row r="28">
      <c r="A28" s="12" t="s">
        <v>42</v>
      </c>
      <c r="B28" s="7" t="str">
        <f>IF(A28=Label!A28,Label!B28,"not yet")</f>
        <v>Contents Disappeared</v>
      </c>
    </row>
    <row r="29">
      <c r="A29" s="12" t="s">
        <v>44</v>
      </c>
      <c r="B29" s="7" t="str">
        <f>IF(A29=Label!A29,Label!B29,"not yet")</f>
        <v>Box Color Changed</v>
      </c>
    </row>
    <row r="30">
      <c r="A30" s="12" t="s">
        <v>46</v>
      </c>
      <c r="B30" s="7" t="str">
        <f>IF(A30=Label!A30,Label!B30,"not yet")</f>
        <v>Box Color Changed</v>
      </c>
    </row>
    <row r="31">
      <c r="A31" s="12" t="s">
        <v>47</v>
      </c>
      <c r="B31" s="7" t="str">
        <f>IF(A31=Label!A31,Label!B31,"not yet")</f>
        <v>Box Color Changed</v>
      </c>
    </row>
    <row r="32">
      <c r="A32" s="12" t="s">
        <v>48</v>
      </c>
      <c r="B32" s="7" t="str">
        <f>IF(A32=Label!A32,Label!B32,"not yet")</f>
        <v>OutOfScope: Duplicates</v>
      </c>
    </row>
    <row r="33">
      <c r="A33" s="12" t="s">
        <v>49</v>
      </c>
      <c r="B33" s="7" t="str">
        <f>IF(A33=Label!A33,Label!B33,"not yet")</f>
        <v>OutOfScope: New Story</v>
      </c>
    </row>
    <row r="34">
      <c r="A34" s="12" t="s">
        <v>50</v>
      </c>
      <c r="B34" s="7" t="str">
        <f>IF(A34=Label!A34,Label!B34,"not yet")</f>
        <v>Box Size Changed</v>
      </c>
    </row>
    <row r="35">
      <c r="A35" s="12" t="s">
        <v>52</v>
      </c>
      <c r="B35" s="7" t="str">
        <f>IF(A35=Label!A35,Label!B35,"not yet")</f>
        <v>OutOfScope: Not VRT Discussion</v>
      </c>
    </row>
    <row r="36">
      <c r="A36" s="12" t="s">
        <v>54</v>
      </c>
      <c r="B36" s="7" t="str">
        <f>IF(A36=Label!A36,Label!B36,"not yet")</f>
        <v>Layout Shifted</v>
      </c>
    </row>
    <row r="37">
      <c r="A37" s="12" t="s">
        <v>55</v>
      </c>
      <c r="B37" s="7" t="str">
        <f>IF(A37=Label!A37,Label!B37,"not yet")</f>
        <v>OutOfScope: New Story</v>
      </c>
    </row>
    <row r="38">
      <c r="A38" s="12" t="s">
        <v>56</v>
      </c>
      <c r="B38" s="7" t="str">
        <f>IF(A38=Label!A38,Label!B38,"not yet")</f>
        <v>OutOfScope: New Story</v>
      </c>
    </row>
    <row r="39">
      <c r="A39" s="12" t="s">
        <v>57</v>
      </c>
      <c r="B39" s="7" t="str">
        <f>IF(A39=Label!A39,Label!B39,"not yet")</f>
        <v>OutOfScope: New Story</v>
      </c>
    </row>
    <row r="40">
      <c r="A40" s="12" t="s">
        <v>58</v>
      </c>
      <c r="B40" s="7" t="str">
        <f>IF(A40=Label!A40,Label!B40,"not yet")</f>
        <v>OutOfScope: New Story</v>
      </c>
    </row>
    <row r="41">
      <c r="A41" s="12" t="s">
        <v>59</v>
      </c>
      <c r="B41" s="7" t="str">
        <f>IF(A41=Label!A41,Label!B41,"not yet")</f>
        <v>OutOfScope: Duplicates</v>
      </c>
    </row>
    <row r="42">
      <c r="A42" s="12" t="s">
        <v>60</v>
      </c>
      <c r="B42" s="7" t="str">
        <f>IF(A42=Label!A42,Label!B42,"not yet")</f>
        <v>Undefined/Wrong State is Shown</v>
      </c>
    </row>
    <row r="43">
      <c r="A43" s="12" t="s">
        <v>61</v>
      </c>
      <c r="B43" s="7" t="str">
        <f>IF(A43=Label!A43,Label!B43,"not yet")</f>
        <v>New Contents</v>
      </c>
    </row>
    <row r="44">
      <c r="A44" s="12" t="s">
        <v>62</v>
      </c>
      <c r="B44" s="7" t="str">
        <f>IF(A44=Label!A44,Label!B44,"not yet")</f>
        <v>Text Color Changed</v>
      </c>
    </row>
    <row r="45">
      <c r="A45" s="12" t="s">
        <v>64</v>
      </c>
      <c r="B45" s="7" t="str">
        <f>IF(A45=Label!A45,Label!B45,"not yet")</f>
        <v>Size of Page/Header Changed</v>
      </c>
    </row>
    <row r="46">
      <c r="A46" s="12" t="s">
        <v>65</v>
      </c>
      <c r="B46" s="7" t="str">
        <f>IF(A46=Label!A46,Label!B46,"not yet")</f>
        <v>OutOfScope: Duplicates</v>
      </c>
    </row>
    <row r="47">
      <c r="A47" s="12" t="s">
        <v>66</v>
      </c>
      <c r="B47" s="7" t="str">
        <f>IF(A47=Label!A47,Label!B47,"not yet")</f>
        <v>New Contents</v>
      </c>
    </row>
    <row r="48">
      <c r="A48" s="12" t="s">
        <v>67</v>
      </c>
      <c r="B48" s="7" t="str">
        <f>IF(A48=Label!A48,Label!B48,"not yet")</f>
        <v>Default State is Changed</v>
      </c>
    </row>
    <row r="49">
      <c r="A49" s="12" t="s">
        <v>68</v>
      </c>
      <c r="B49" s="7" t="str">
        <f>IF(A49=Label!A49,Label!B49,"not yet")</f>
        <v>OutOfScope: New Story</v>
      </c>
    </row>
    <row r="50">
      <c r="A50" s="12" t="s">
        <v>69</v>
      </c>
      <c r="B50" s="7" t="str">
        <f>IF(A50=Label!A50,Label!B50,"not yet")</f>
        <v>Not sure</v>
      </c>
    </row>
    <row r="51">
      <c r="A51" s="12" t="s">
        <v>71</v>
      </c>
      <c r="B51" s="7" t="str">
        <f>IF(A51=Label!A51,Label!B51,"not yet")</f>
        <v>Layout Changed</v>
      </c>
    </row>
    <row r="52">
      <c r="A52" s="12" t="s">
        <v>72</v>
      </c>
      <c r="B52" s="7" t="str">
        <f>IF(A52=Label!A52,Label!B52,"not yet")</f>
        <v>OutOfScope: New Story</v>
      </c>
    </row>
    <row r="53">
      <c r="A53" s="12" t="s">
        <v>73</v>
      </c>
      <c r="B53" s="7" t="str">
        <f>IF(A53=Label!A53,Label!B53,"not yet")</f>
        <v>Size of Page/Header Changed</v>
      </c>
    </row>
    <row r="54">
      <c r="A54" s="12" t="s">
        <v>74</v>
      </c>
      <c r="B54" s="7" t="str">
        <f>IF(A54=Label!A54,Label!B54,"not yet")</f>
        <v>Contents of Text Changed</v>
      </c>
    </row>
    <row r="55">
      <c r="A55" s="12" t="s">
        <v>76</v>
      </c>
      <c r="B55" s="7" t="str">
        <f>IF(A55=Label!A55,Label!B55,"not yet")</f>
        <v>Layout Shifted</v>
      </c>
    </row>
    <row r="56">
      <c r="A56" s="12" t="s">
        <v>77</v>
      </c>
      <c r="B56" s="7" t="str">
        <f>IF(A56=Label!A56,Label!B56,"not yet")</f>
        <v>OutOfScope: New Story</v>
      </c>
    </row>
    <row r="57">
      <c r="A57" s="12" t="s">
        <v>78</v>
      </c>
      <c r="B57" s="7" t="str">
        <f>IF(A57=Label!A57,Label!B57,"not yet")</f>
        <v>OutOfScope: Cannot access</v>
      </c>
    </row>
    <row r="58">
      <c r="A58" s="12" t="s">
        <v>79</v>
      </c>
      <c r="B58" s="7" t="str">
        <f>IF(A58=Label!A58,Label!B58,"not yet")</f>
        <v>OutOfScope: Not VRT Discussion</v>
      </c>
    </row>
    <row r="59">
      <c r="A59" s="12" t="s">
        <v>80</v>
      </c>
      <c r="B59" s="7" t="str">
        <f>IF(A59=Label!A59,Label!B59,"not yet")</f>
        <v>OutOfScope: New Story</v>
      </c>
    </row>
    <row r="60">
      <c r="A60" s="12" t="s">
        <v>81</v>
      </c>
      <c r="B60" s="7" t="str">
        <f>IF(A60=Label!A60,Label!B60,"not yet")</f>
        <v>OutOfScope: New Story</v>
      </c>
    </row>
    <row r="61">
      <c r="A61" s="12" t="s">
        <v>82</v>
      </c>
      <c r="B61" s="7" t="str">
        <f>IF(A61=Label!A61,Label!B61,"not yet")</f>
        <v>Contents of Text Changed</v>
      </c>
    </row>
    <row r="62">
      <c r="A62" s="12" t="s">
        <v>83</v>
      </c>
      <c r="B62" s="7" t="str">
        <f>IF(A62=Label!A62,Label!B62,"not yet")</f>
        <v>Box Color Changed</v>
      </c>
    </row>
    <row r="63">
      <c r="A63" s="12" t="s">
        <v>84</v>
      </c>
      <c r="B63" s="7" t="str">
        <f>IF(A63=Label!A63,Label!B63,"not yet")</f>
        <v>Image Adjusted</v>
      </c>
    </row>
    <row r="64">
      <c r="A64" s="12" t="s">
        <v>86</v>
      </c>
      <c r="B64" s="7" t="str">
        <f>IF(A64=Label!A64,Label!B64,"not yet")</f>
        <v>OutOfScope: New Story</v>
      </c>
    </row>
    <row r="65">
      <c r="A65" s="12" t="s">
        <v>87</v>
      </c>
      <c r="B65" s="7" t="str">
        <f>IF(A65=Label!A65,Label!B65,"not yet")</f>
        <v>Size of Page/Header Changed</v>
      </c>
    </row>
    <row r="66">
      <c r="A66" s="12" t="s">
        <v>88</v>
      </c>
      <c r="B66" s="7" t="str">
        <f>IF(A66=Label!A66,Label!B66,"not yet")</f>
        <v>Text Disappeared</v>
      </c>
    </row>
    <row r="67">
      <c r="A67" s="12" t="s">
        <v>89</v>
      </c>
      <c r="B67" s="7" t="str">
        <f>IF(A67=Label!A67,Label!B67,"not yet")</f>
        <v>OutOfScope: New Story</v>
      </c>
    </row>
    <row r="68">
      <c r="A68" s="12" t="s">
        <v>90</v>
      </c>
      <c r="B68" s="7" t="str">
        <f>IF(A68=Label!A68,Label!B68,"not yet")</f>
        <v>OutOfScope: Chromatic Error</v>
      </c>
    </row>
    <row r="69">
      <c r="A69" s="12" t="s">
        <v>92</v>
      </c>
      <c r="B69" s="7" t="str">
        <f>IF(A69=Label!A69,Label!B69,"not yet")</f>
        <v>OutOfScope: Duplicates</v>
      </c>
    </row>
    <row r="70">
      <c r="A70" s="12" t="s">
        <v>93</v>
      </c>
      <c r="B70" s="7" t="str">
        <f>IF(A70=Label!A70,Label!B70,"not yet")</f>
        <v>Wrong Border Thickness</v>
      </c>
    </row>
    <row r="71">
      <c r="A71" s="12" t="s">
        <v>95</v>
      </c>
      <c r="B71" s="7" t="str">
        <f>IF(A71=Label!A71,Label!B71,"not yet")</f>
        <v>OutOfScope: Duplicates</v>
      </c>
    </row>
    <row r="72">
      <c r="A72" s="12" t="s">
        <v>96</v>
      </c>
      <c r="B72" s="7" t="str">
        <f>IF(A72=Label!A72,Label!B72,"not yet")</f>
        <v>New Border Appeared</v>
      </c>
    </row>
    <row r="73">
      <c r="A73" s="12" t="s">
        <v>98</v>
      </c>
      <c r="B73" s="7" t="str">
        <f>IF(A73=Label!A73,Label!B73,"not yet")</f>
        <v>OutOfScope: Duplicates</v>
      </c>
    </row>
    <row r="74">
      <c r="A74" s="12" t="s">
        <v>99</v>
      </c>
      <c r="B74" s="7" t="str">
        <f>IF(A74=Label!A74,Label!B74,"not yet")</f>
        <v>Text Disappeared</v>
      </c>
    </row>
    <row r="75">
      <c r="A75" s="12" t="s">
        <v>100</v>
      </c>
      <c r="B75" s="7" t="str">
        <f>IF(A75=Label!A75,Label!B75,"not yet")</f>
        <v>Not sure</v>
      </c>
    </row>
    <row r="76">
      <c r="A76" s="12" t="s">
        <v>101</v>
      </c>
      <c r="B76" s="7" t="str">
        <f>IF(A76=Label!A76,Label!B76,"not yet")</f>
        <v>OutOfScope: Duplicates</v>
      </c>
    </row>
    <row r="77">
      <c r="A77" s="12" t="s">
        <v>102</v>
      </c>
      <c r="B77" s="7" t="str">
        <f>IF(A77=Label!A77,Label!B77,"not yet")</f>
        <v>Box Size Changed</v>
      </c>
    </row>
    <row r="78">
      <c r="A78" s="12" t="s">
        <v>103</v>
      </c>
      <c r="B78" s="7" t="str">
        <f>IF(A78=Label!A78,Label!B78,"not yet")</f>
        <v>Contents Disappeared</v>
      </c>
    </row>
    <row r="79">
      <c r="A79" s="12" t="s">
        <v>104</v>
      </c>
      <c r="B79" s="7" t="str">
        <f>IF(A79=Label!A79,Label!B79,"not yet")</f>
        <v>Layout Shifted</v>
      </c>
    </row>
    <row r="80">
      <c r="A80" s="12" t="s">
        <v>105</v>
      </c>
      <c r="B80" s="7" t="str">
        <f>IF(A80=Label!A80,Label!B80,"not yet")</f>
        <v>Text Disappeared</v>
      </c>
    </row>
    <row r="81">
      <c r="A81" s="12" t="s">
        <v>106</v>
      </c>
      <c r="B81" s="7" t="str">
        <f>IF(A81=Label!A81,Label!B81,"not yet")</f>
        <v>Layout Changed</v>
      </c>
    </row>
    <row r="82">
      <c r="A82" s="12" t="s">
        <v>107</v>
      </c>
      <c r="B82" s="7" t="str">
        <f>IF(A82=Label!A82,Label!B82,"not yet")</f>
        <v>Layout Shifted</v>
      </c>
    </row>
    <row r="83">
      <c r="A83" s="12" t="s">
        <v>108</v>
      </c>
      <c r="B83" s="7" t="str">
        <f>IF(A83=Label!A83,Label!B83,"not yet")</f>
        <v>Size of Page/Header Changed</v>
      </c>
    </row>
    <row r="84">
      <c r="A84" s="12" t="s">
        <v>109</v>
      </c>
      <c r="B84" s="7" t="str">
        <f>IF(A84=Label!A84,Label!B84,"not yet")</f>
        <v>Layout Shifted</v>
      </c>
    </row>
    <row r="85">
      <c r="A85" s="12" t="s">
        <v>110</v>
      </c>
      <c r="B85" s="7" t="str">
        <f>IF(A85=Label!A85,Label!B85,"not yet")</f>
        <v>Layout Shifted</v>
      </c>
    </row>
    <row r="86">
      <c r="A86" s="12" t="s">
        <v>111</v>
      </c>
      <c r="B86" s="7" t="str">
        <f>IF(A86=Label!A86,Label!B86,"not yet")</f>
        <v>Undefined/Wrong State is Shown</v>
      </c>
    </row>
    <row r="87">
      <c r="A87" s="12" t="s">
        <v>112</v>
      </c>
      <c r="B87" s="7" t="str">
        <f>IF(A87=Label!A87,Label!B87,"not yet")</f>
        <v>Layout Shifted</v>
      </c>
    </row>
    <row r="88">
      <c r="A88" s="12" t="s">
        <v>113</v>
      </c>
      <c r="B88" s="7" t="str">
        <f>IF(A88=Label!A88,Label!B88,"not yet")</f>
        <v>OutOfScope: Duplicates</v>
      </c>
    </row>
    <row r="89">
      <c r="A89" s="12" t="s">
        <v>114</v>
      </c>
      <c r="B89" s="7" t="str">
        <f>IF(A89=Label!A89,Label!B89,"not yet")</f>
        <v>Box Color Changed</v>
      </c>
    </row>
    <row r="90">
      <c r="A90" s="12" t="s">
        <v>115</v>
      </c>
      <c r="B90" s="7" t="str">
        <f>IF(A90=Label!A90,Label!B90,"not yet")</f>
        <v>Image Adjusted</v>
      </c>
    </row>
    <row r="91">
      <c r="A91" s="12" t="s">
        <v>116</v>
      </c>
      <c r="B91" s="7" t="str">
        <f>IF(A91=Label!A91,Label!B91,"not yet")</f>
        <v>OutOfScope: Cannot access</v>
      </c>
    </row>
    <row r="92">
      <c r="A92" s="12" t="s">
        <v>117</v>
      </c>
      <c r="B92" s="7" t="str">
        <f>IF(A92=Label!A92,Label!B92,"not yet")</f>
        <v>OutOfScope: New Story</v>
      </c>
    </row>
    <row r="93">
      <c r="A93" s="12" t="s">
        <v>118</v>
      </c>
      <c r="B93" s="7" t="str">
        <f>IF(A93=Label!A93,Label!B93,"not yet")</f>
        <v>OutOfScope: New Story</v>
      </c>
    </row>
    <row r="94">
      <c r="A94" s="12" t="s">
        <v>119</v>
      </c>
      <c r="B94" s="7" t="str">
        <f>IF(A94=Label!A94,Label!B94,"not yet")</f>
        <v>Layout Shifted</v>
      </c>
    </row>
    <row r="95">
      <c r="A95" s="12" t="s">
        <v>120</v>
      </c>
      <c r="B95" s="7" t="str">
        <f>IF(A95=Label!A95,Label!B95,"not yet")</f>
        <v>New Text</v>
      </c>
    </row>
    <row r="96">
      <c r="A96" s="12" t="s">
        <v>122</v>
      </c>
      <c r="B96" s="7" t="str">
        <f>IF(A96=Label!A96,Label!B96,"not yet")</f>
        <v>Size of Page/Header Changed</v>
      </c>
    </row>
    <row r="97">
      <c r="A97" s="12" t="s">
        <v>123</v>
      </c>
      <c r="B97" s="7" t="str">
        <f>IF(A97=Label!A97,Label!B97,"not yet")</f>
        <v>Image Replaced</v>
      </c>
    </row>
    <row r="98">
      <c r="A98" s="12" t="s">
        <v>124</v>
      </c>
      <c r="B98" s="7" t="str">
        <f>IF(A98=Label!A98,Label!B98,"not yet")</f>
        <v>OutOfScope: Duplicates</v>
      </c>
    </row>
    <row r="99">
      <c r="A99" s="12" t="s">
        <v>125</v>
      </c>
      <c r="B99" s="7" t="str">
        <f>IF(A99=Label!A99,Label!B99,"not yet")</f>
        <v>OutOfScope: Duplicates</v>
      </c>
    </row>
    <row r="100">
      <c r="A100" s="12" t="s">
        <v>126</v>
      </c>
      <c r="B100" s="7" t="str">
        <f>IF(A100=Label!A100,Label!B100,"not yet")</f>
        <v>Size of Page/Header Changed</v>
      </c>
    </row>
    <row r="101">
      <c r="A101" s="12" t="s">
        <v>127</v>
      </c>
      <c r="B101" s="7" t="str">
        <f>IF(A101=Label!A101,Label!B101,"not yet")</f>
        <v>Box Color Changed</v>
      </c>
    </row>
    <row r="102">
      <c r="A102" s="12" t="s">
        <v>128</v>
      </c>
      <c r="B102" s="7" t="str">
        <f>IF(A102=Label!A102,Label!B102,"not yet")</f>
        <v>Focus Does Not Work</v>
      </c>
    </row>
    <row r="103">
      <c r="A103" s="12" t="s">
        <v>129</v>
      </c>
      <c r="B103" s="7" t="str">
        <f>IF(A103=Label!A103,Label!B103,"not yet")</f>
        <v>Specific Items are Mis-aligned</v>
      </c>
    </row>
    <row r="104">
      <c r="A104" s="12" t="s">
        <v>131</v>
      </c>
      <c r="B104" s="7" t="str">
        <f>IF(A104=Label!A104,Label!B104,"not yet")</f>
        <v>OutOfScope: Chromatic Error</v>
      </c>
    </row>
    <row r="105">
      <c r="A105" s="12" t="s">
        <v>132</v>
      </c>
      <c r="B105" s="7" t="str">
        <f>IF(A105=Label!A105,Label!B105,"not yet")</f>
        <v>OutOfScope: Duplicates</v>
      </c>
    </row>
    <row r="106">
      <c r="A106" s="12" t="s">
        <v>133</v>
      </c>
      <c r="B106" s="7" t="str">
        <f>IF(A106=Label!A106,Label!B106,"not yet")</f>
        <v>Border Color Changed</v>
      </c>
    </row>
    <row r="107">
      <c r="A107" s="12" t="s">
        <v>135</v>
      </c>
      <c r="B107" s="7" t="str">
        <f>IF(A107=Label!A107,Label!B107,"not yet")</f>
        <v>OutOfScope: Duplicates</v>
      </c>
    </row>
    <row r="108">
      <c r="A108" s="12" t="s">
        <v>136</v>
      </c>
      <c r="B108" s="7" t="str">
        <f>IF(A108=Label!A108,Label!B108,"not yet")</f>
        <v>Wrong Border Thickness</v>
      </c>
    </row>
    <row r="109">
      <c r="A109" s="12" t="s">
        <v>137</v>
      </c>
      <c r="B109" s="7" t="str">
        <f>IF(A109=Label!A109,Label!B109,"not yet")</f>
        <v>OutOfScope: Chromatic Error</v>
      </c>
    </row>
    <row r="110">
      <c r="A110" s="12" t="s">
        <v>138</v>
      </c>
      <c r="B110" s="7" t="str">
        <f>IF(A110=Label!A110,Label!B110,"not yet")</f>
        <v>Box Color Changed</v>
      </c>
    </row>
    <row r="111">
      <c r="A111" s="12" t="s">
        <v>139</v>
      </c>
      <c r="B111" s="7" t="str">
        <f>IF(A111=Label!A111,Label!B111,"not yet")</f>
        <v>Layout Shifted</v>
      </c>
    </row>
    <row r="112">
      <c r="A112" s="12" t="s">
        <v>140</v>
      </c>
      <c r="B112" s="7" t="str">
        <f>IF(A112=Label!A112,Label!B112,"not yet")</f>
        <v>Specific Items are Mis-aligned</v>
      </c>
    </row>
    <row r="113">
      <c r="A113" s="12" t="s">
        <v>141</v>
      </c>
      <c r="B113" s="7" t="str">
        <f>IF(A113=Label!A113,Label!B113,"not yet")</f>
        <v>OutOfScope: New Story</v>
      </c>
    </row>
    <row r="114">
      <c r="A114" s="12" t="s">
        <v>142</v>
      </c>
      <c r="B114" s="7" t="str">
        <f>IF(A114=Label!A114,Label!B114,"not yet")</f>
        <v>Layout Shifted</v>
      </c>
    </row>
    <row r="115">
      <c r="A115" s="12" t="s">
        <v>143</v>
      </c>
      <c r="B115" s="7" t="str">
        <f>IF(A115=Label!A115,Label!B115,"not yet")</f>
        <v>OutOfScope: New Story</v>
      </c>
    </row>
    <row r="116">
      <c r="A116" s="12" t="s">
        <v>144</v>
      </c>
      <c r="B116" s="7" t="str">
        <f>IF(A116=Label!A116,Label!B116,"not yet")</f>
        <v>Specific Items are Mis-aligned</v>
      </c>
    </row>
    <row r="117">
      <c r="A117" s="12" t="s">
        <v>145</v>
      </c>
      <c r="B117" s="7" t="str">
        <f>IF(A117=Label!A117,Label!B117,"not yet")</f>
        <v>Contents Disappeared</v>
      </c>
    </row>
    <row r="118">
      <c r="A118" s="12" t="s">
        <v>146</v>
      </c>
      <c r="B118" s="7" t="str">
        <f>IF(A118=Label!A118,Label!B118,"not yet")</f>
        <v>Not sure</v>
      </c>
    </row>
    <row r="119">
      <c r="A119" s="12" t="s">
        <v>147</v>
      </c>
      <c r="B119" s="7" t="str">
        <f>IF(A119=Label!A119,Label!B119,"not yet")</f>
        <v>New Buttons</v>
      </c>
    </row>
    <row r="120">
      <c r="A120" s="12" t="s">
        <v>149</v>
      </c>
      <c r="B120" s="7" t="str">
        <f>IF(A120=Label!A120,Label!B120,"not yet")</f>
        <v>Text Color Changed</v>
      </c>
    </row>
    <row r="121">
      <c r="A121" s="12" t="s">
        <v>150</v>
      </c>
      <c r="B121" s="7" t="str">
        <f>IF(A121=Label!A121,Label!B121,"not yet")</f>
        <v>New Contents</v>
      </c>
    </row>
    <row r="122">
      <c r="A122" s="12" t="s">
        <v>151</v>
      </c>
      <c r="B122" s="7" t="str">
        <f>IF(A122=Label!A122,Label!B122,"not yet")</f>
        <v>Box Color Changed</v>
      </c>
    </row>
    <row r="123">
      <c r="A123" s="12" t="s">
        <v>152</v>
      </c>
      <c r="B123" s="7" t="str">
        <f>IF(A123=Label!A123,Label!B123,"not yet")</f>
        <v>Flacky Test</v>
      </c>
    </row>
    <row r="124">
      <c r="A124" s="12" t="s">
        <v>154</v>
      </c>
      <c r="B124" s="7" t="str">
        <f>IF(A124=Label!A124,Label!B124,"not yet")</f>
        <v>OutOfScope: New Story</v>
      </c>
    </row>
    <row r="125">
      <c r="A125" s="12" t="s">
        <v>155</v>
      </c>
      <c r="B125" s="7" t="str">
        <f>IF(A125=Label!A125,Label!B125,"not yet")</f>
        <v>OutOfScope: Cannot access</v>
      </c>
    </row>
    <row r="126">
      <c r="A126" s="12" t="s">
        <v>156</v>
      </c>
      <c r="B126" s="7" t="str">
        <f>IF(A126=Label!A126,Label!B126,"not yet")</f>
        <v>Layout Shifted</v>
      </c>
    </row>
    <row r="127">
      <c r="A127" s="12" t="s">
        <v>157</v>
      </c>
      <c r="B127" s="7" t="str">
        <f>IF(A127=Label!A127,Label!B127,"not yet")</f>
        <v>OutOfScope: New Story</v>
      </c>
    </row>
    <row r="128">
      <c r="A128" s="12" t="s">
        <v>158</v>
      </c>
      <c r="B128" s="7" t="str">
        <f>IF(A128=Label!A128,Label!B128,"not yet")</f>
        <v>OutOfScope: Cannot access</v>
      </c>
    </row>
    <row r="129">
      <c r="A129" s="12" t="s">
        <v>159</v>
      </c>
      <c r="B129" s="7" t="str">
        <f>IF(A129=Label!A129,Label!B129,"not yet")</f>
        <v>No or Few Visual Diffrences Detected</v>
      </c>
    </row>
    <row r="130">
      <c r="A130" s="12" t="s">
        <v>161</v>
      </c>
      <c r="B130" s="7" t="str">
        <f>IF(A130=Label!A130,Label!B130,"not yet")</f>
        <v>Box Color Changed</v>
      </c>
    </row>
    <row r="131">
      <c r="A131" s="12" t="s">
        <v>162</v>
      </c>
      <c r="B131" s="7" t="str">
        <f>IF(A131=Label!A131,Label!B131,"not yet")</f>
        <v>Text Color Changed</v>
      </c>
    </row>
    <row r="132">
      <c r="A132" s="12" t="s">
        <v>163</v>
      </c>
      <c r="B132" s="7" t="str">
        <f>IF(A132=Label!A132,Label!B132,"not yet")</f>
        <v>Box Color Changed</v>
      </c>
    </row>
    <row r="133">
      <c r="A133" s="12" t="s">
        <v>164</v>
      </c>
      <c r="B133" s="7" t="str">
        <f>IF(A133=Label!A133,Label!B133,"not yet")</f>
        <v>Box Color Changed</v>
      </c>
    </row>
    <row r="134">
      <c r="A134" s="12" t="s">
        <v>165</v>
      </c>
      <c r="B134" s="7" t="str">
        <f>IF(A134=Label!A134,Label!B134,"not yet")</f>
        <v>OutOfScope: Duplicates</v>
      </c>
    </row>
    <row r="135">
      <c r="A135" s="12" t="s">
        <v>166</v>
      </c>
      <c r="B135" s="7" t="str">
        <f>IF(A135=Label!A135,Label!B135,"not yet")</f>
        <v>Text Color Changed</v>
      </c>
    </row>
    <row r="136">
      <c r="A136" s="12" t="s">
        <v>167</v>
      </c>
      <c r="B136" s="7" t="str">
        <f>IF(A136=Label!A136,Label!B136,"not yet")</f>
        <v>OutOfScope: New Story</v>
      </c>
    </row>
    <row r="137">
      <c r="A137" s="12" t="s">
        <v>168</v>
      </c>
      <c r="B137" s="7" t="str">
        <f>IF(A137=Label!A137,Label!B137,"not yet")</f>
        <v>Box Size Changed</v>
      </c>
    </row>
    <row r="138">
      <c r="A138" s="12" t="s">
        <v>169</v>
      </c>
      <c r="B138" s="7" t="str">
        <f>IF(A138=Label!A138,Label!B138,"not yet")</f>
        <v>Box Size Changed</v>
      </c>
    </row>
    <row r="139">
      <c r="A139" s="12" t="s">
        <v>170</v>
      </c>
      <c r="B139" s="7" t="str">
        <f>IF(A139=Label!A139,Label!B139,"not yet")</f>
        <v>Default State is Changed</v>
      </c>
    </row>
    <row r="140">
      <c r="A140" s="12" t="s">
        <v>171</v>
      </c>
      <c r="B140" s="7" t="str">
        <f>IF(A140=Label!A140,Label!B140,"not yet")</f>
        <v>OutOfScope: Duplicates</v>
      </c>
    </row>
    <row r="141">
      <c r="A141" s="12" t="s">
        <v>172</v>
      </c>
      <c r="B141" s="7" t="str">
        <f>IF(A141=Label!A141,Label!B141,"not yet")</f>
        <v>OutOfScope: Duplicates</v>
      </c>
    </row>
    <row r="142">
      <c r="A142" s="12" t="s">
        <v>173</v>
      </c>
      <c r="B142" s="7" t="str">
        <f>IF(A142=Label!A142,Label!B142,"not yet")</f>
        <v>Layout Shifted</v>
      </c>
    </row>
    <row r="143">
      <c r="A143" s="12" t="s">
        <v>174</v>
      </c>
      <c r="B143" s="7" t="str">
        <f>IF(A143=Label!A143,Label!B143,"not yet")</f>
        <v>OutOfScope: New Story</v>
      </c>
    </row>
    <row r="144">
      <c r="A144" s="12" t="s">
        <v>175</v>
      </c>
      <c r="B144" s="7" t="str">
        <f>IF(A144=Label!A144,Label!B144,"not yet")</f>
        <v>Undefined/Wrong State is Shown</v>
      </c>
    </row>
    <row r="145">
      <c r="A145" s="12" t="s">
        <v>176</v>
      </c>
      <c r="B145" s="7" t="str">
        <f>IF(A145=Label!A145,Label!B145,"not yet")</f>
        <v>OutOfScope: Chromatic Error</v>
      </c>
    </row>
    <row r="146">
      <c r="A146" s="12" t="s">
        <v>177</v>
      </c>
      <c r="B146" s="7" t="str">
        <f>IF(A146=Label!A146,Label!B146,"not yet")</f>
        <v>Specific Items are Mis-aligned</v>
      </c>
    </row>
    <row r="147">
      <c r="A147" s="12" t="s">
        <v>178</v>
      </c>
      <c r="B147" s="7" t="str">
        <f>IF(A147=Label!A147,Label!B147,"not yet")</f>
        <v>Box Shape Changed</v>
      </c>
    </row>
    <row r="148">
      <c r="A148" s="12" t="s">
        <v>180</v>
      </c>
      <c r="B148" s="7" t="str">
        <f>IF(A148=Label!A148,Label!B148,"not yet")</f>
        <v>Layout Shifted</v>
      </c>
    </row>
    <row r="149">
      <c r="A149" s="12" t="s">
        <v>181</v>
      </c>
      <c r="B149" s="7" t="str">
        <f>IF(A149=Label!A149,Label!B149,"not yet")</f>
        <v>OutOfScope: New Story</v>
      </c>
    </row>
    <row r="150">
      <c r="A150" s="12" t="s">
        <v>182</v>
      </c>
      <c r="B150" s="7" t="str">
        <f>IF(A150=Label!A150,Label!B150,"not yet")</f>
        <v>OutOfScope: New Story</v>
      </c>
    </row>
    <row r="151">
      <c r="A151" s="12" t="s">
        <v>183</v>
      </c>
      <c r="B151" s="7" t="str">
        <f>IF(A151=Label!A151,Label!B151,"not yet")</f>
        <v>OutOfScope: Cannot access</v>
      </c>
    </row>
    <row r="152">
      <c r="A152" s="12" t="s">
        <v>184</v>
      </c>
      <c r="B152" s="7" t="str">
        <f>IF(A152=Label!A152,Label!B152,"not yet")</f>
        <v>OutOfScope: Duplicates</v>
      </c>
    </row>
    <row r="153">
      <c r="A153" s="12" t="s">
        <v>185</v>
      </c>
      <c r="B153" s="7" t="str">
        <f>IF(A153=Label!A153,Label!B153,"not yet")</f>
        <v>Box Size Changed</v>
      </c>
    </row>
    <row r="154">
      <c r="A154" s="12" t="s">
        <v>186</v>
      </c>
      <c r="B154" s="7" t="str">
        <f>IF(A154=Label!A154,Label!B154,"not yet")</f>
        <v>Size of Page/Header Changed</v>
      </c>
    </row>
    <row r="155">
      <c r="A155" s="12" t="s">
        <v>187</v>
      </c>
      <c r="B155" s="7" t="str">
        <f>IF(A155=Label!A155,Label!B155,"not yet")</f>
        <v>Layout Changed</v>
      </c>
    </row>
    <row r="156">
      <c r="A156" s="12" t="s">
        <v>188</v>
      </c>
      <c r="B156" s="7" t="str">
        <f>IF(A156=Label!A156,Label!B156,"not yet")</f>
        <v>Layout Shifted</v>
      </c>
    </row>
    <row r="157">
      <c r="A157" s="12" t="s">
        <v>189</v>
      </c>
      <c r="B157" s="7" t="str">
        <f>IF(A157=Label!A157,Label!B157,"not yet")</f>
        <v>OutOfScope: Chromatic Error</v>
      </c>
    </row>
    <row r="158">
      <c r="A158" s="12" t="s">
        <v>190</v>
      </c>
      <c r="B158" s="7" t="str">
        <f>IF(A158=Label!A158,Label!B158,"not yet")</f>
        <v>OutOfScope: New Story</v>
      </c>
    </row>
    <row r="159">
      <c r="A159" s="12" t="s">
        <v>191</v>
      </c>
      <c r="B159" s="7" t="str">
        <f>IF(A159=Label!A159,Label!B159,"not yet")</f>
        <v>OutOfScope: New Story</v>
      </c>
    </row>
    <row r="160">
      <c r="A160" s="12" t="s">
        <v>192</v>
      </c>
      <c r="B160" s="7" t="str">
        <f>IF(A160=Label!A160,Label!B160,"not yet")</f>
        <v>Layout Shifted</v>
      </c>
    </row>
    <row r="161">
      <c r="A161" s="12" t="s">
        <v>193</v>
      </c>
      <c r="B161" s="7" t="str">
        <f>IF(A161=Label!A161,Label!B161,"not yet")</f>
        <v>OutOfScope: New Story</v>
      </c>
    </row>
    <row r="162">
      <c r="A162" s="12" t="s">
        <v>194</v>
      </c>
      <c r="B162" s="7" t="str">
        <f>IF(A162=Label!A162,Label!B162,"not yet")</f>
        <v>No Changes</v>
      </c>
    </row>
    <row r="163">
      <c r="A163" s="12" t="s">
        <v>196</v>
      </c>
      <c r="B163" s="7" t="str">
        <f>IF(A163=Label!A163,Label!B163,"not yet")</f>
        <v>Layout Shifted</v>
      </c>
    </row>
    <row r="164">
      <c r="A164" s="12" t="s">
        <v>198</v>
      </c>
      <c r="B164" s="7" t="str">
        <f>IF(A164=Label!A164,Label!B164,"not yet")</f>
        <v>Layout Shifted</v>
      </c>
    </row>
    <row r="165">
      <c r="A165" s="12" t="s">
        <v>199</v>
      </c>
      <c r="B165" s="7" t="str">
        <f>IF(A165=Label!A165,Label!B165,"not yet")</f>
        <v>Box Shape Changed</v>
      </c>
    </row>
    <row r="166">
      <c r="A166" s="12" t="s">
        <v>200</v>
      </c>
      <c r="B166" s="7" t="str">
        <f>IF(A166=Label!A166,Label!B166,"not yet")</f>
        <v>OutOfScope: Duplicates</v>
      </c>
    </row>
    <row r="167">
      <c r="A167" s="12" t="s">
        <v>201</v>
      </c>
      <c r="B167" s="7" t="str">
        <f>IF(A167=Label!A167,Label!B167,"not yet")</f>
        <v>Layout Shifted</v>
      </c>
    </row>
    <row r="168">
      <c r="A168" s="12" t="s">
        <v>202</v>
      </c>
      <c r="B168" s="7" t="str">
        <f>IF(A168=Label!A168,Label!B168,"not yet")</f>
        <v>OutOfScope: Cannot access</v>
      </c>
    </row>
    <row r="169">
      <c r="A169" s="12" t="s">
        <v>203</v>
      </c>
      <c r="B169" s="7" t="str">
        <f>IF(A169=Label!A169,Label!B169,"not yet")</f>
        <v>OutOfScope: Duplicates</v>
      </c>
    </row>
    <row r="170">
      <c r="A170" s="12" t="s">
        <v>204</v>
      </c>
      <c r="B170" s="7" t="str">
        <f>IF(A170=Label!A170,Label!B170,"not yet")</f>
        <v>OutOfScope: New Story</v>
      </c>
    </row>
    <row r="171">
      <c r="A171" s="12" t="s">
        <v>205</v>
      </c>
      <c r="B171" s="7" t="str">
        <f>IF(A171=Label!A171,Label!B171,"not yet")</f>
        <v>OutOfScope: Duplicates</v>
      </c>
    </row>
    <row r="172">
      <c r="A172" s="12" t="s">
        <v>206</v>
      </c>
      <c r="B172" s="7" t="str">
        <f>IF(A172=Label!A172,Label!B172,"not yet")</f>
        <v>New Contents</v>
      </c>
    </row>
    <row r="173">
      <c r="A173" s="12" t="s">
        <v>207</v>
      </c>
      <c r="B173" s="7" t="str">
        <f>IF(A173=Label!A173,Label!B173,"not yet")</f>
        <v>OutOfScope: Duplicates</v>
      </c>
    </row>
    <row r="174">
      <c r="A174" s="12" t="s">
        <v>208</v>
      </c>
      <c r="B174" s="7" t="str">
        <f>IF(A174=Label!A174,Label!B174,"not yet")</f>
        <v>Layout Shifted</v>
      </c>
    </row>
    <row r="175">
      <c r="A175" s="12" t="s">
        <v>209</v>
      </c>
      <c r="B175" s="7" t="str">
        <f>IF(A175=Label!A175,Label!B175,"not yet")</f>
        <v>OutOfScope: New Story</v>
      </c>
    </row>
    <row r="176">
      <c r="A176" s="12" t="s">
        <v>210</v>
      </c>
      <c r="B176" s="7" t="str">
        <f>IF(A176=Label!A176,Label!B176,"not yet")</f>
        <v>Image Adjusted</v>
      </c>
    </row>
    <row r="177">
      <c r="A177" s="12" t="s">
        <v>211</v>
      </c>
      <c r="B177" s="7" t="str">
        <f>IF(A177=Label!A177,Label!B177,"not yet")</f>
        <v>OutOfScope: Chromatic Error</v>
      </c>
    </row>
    <row r="178">
      <c r="A178" s="12" t="s">
        <v>212</v>
      </c>
      <c r="B178" s="7" t="str">
        <f>IF(A178=Label!A178,Label!B178,"not yet")</f>
        <v>Text Color Changed</v>
      </c>
    </row>
    <row r="179">
      <c r="A179" s="12" t="s">
        <v>213</v>
      </c>
      <c r="B179" s="7" t="str">
        <f>IF(A179=Label!A179,Label!B179,"not yet")</f>
        <v>Box Size Changed</v>
      </c>
    </row>
    <row r="180">
      <c r="A180" s="12" t="s">
        <v>214</v>
      </c>
      <c r="B180" s="7" t="str">
        <f>IF(A180=Label!A180,Label!B180,"not yet")</f>
        <v>Default State is Changed</v>
      </c>
    </row>
    <row r="181">
      <c r="A181" s="12" t="s">
        <v>215</v>
      </c>
      <c r="B181" s="7" t="str">
        <f>IF(A181=Label!A181,Label!B181,"not yet")</f>
        <v>OutOfScope: Duplicates</v>
      </c>
    </row>
    <row r="182">
      <c r="A182" s="12" t="s">
        <v>216</v>
      </c>
      <c r="B182" s="7" t="str">
        <f>IF(A182=Label!A182,Label!B182,"not yet")</f>
        <v>Specific Items are Mis-aligned</v>
      </c>
    </row>
    <row r="183">
      <c r="A183" s="12" t="s">
        <v>217</v>
      </c>
      <c r="B183" s="7" t="str">
        <f>IF(A183=Label!A183,Label!B183,"not yet")</f>
        <v>OutOfScope: Duplicates</v>
      </c>
    </row>
    <row r="184">
      <c r="A184" s="12" t="s">
        <v>218</v>
      </c>
      <c r="B184" s="7" t="str">
        <f>IF(A184=Label!A184,Label!B184,"not yet")</f>
        <v>Layout Shifted</v>
      </c>
    </row>
    <row r="185">
      <c r="A185" s="12" t="s">
        <v>219</v>
      </c>
      <c r="B185" s="7" t="str">
        <f>IF(A185=Label!A185,Label!B185,"not yet")</f>
        <v>Layout Shifted</v>
      </c>
    </row>
    <row r="186">
      <c r="A186" s="12" t="s">
        <v>220</v>
      </c>
      <c r="B186" s="7" t="str">
        <f>IF(A186=Label!A186,Label!B186,"not yet")</f>
        <v>OutOfScope: Cannot access</v>
      </c>
    </row>
    <row r="187">
      <c r="A187" s="12" t="s">
        <v>221</v>
      </c>
      <c r="B187" s="7" t="str">
        <f>IF(A187=Label!A187,Label!B187,"not yet")</f>
        <v>OutOfScope: Cannot access</v>
      </c>
    </row>
    <row r="188">
      <c r="A188" s="12" t="s">
        <v>222</v>
      </c>
      <c r="B188" s="7" t="str">
        <f>IF(A188=Label!A188,Label!B188,"not yet")</f>
        <v>OutOfScope: Cannot access</v>
      </c>
    </row>
    <row r="189">
      <c r="A189" s="12" t="s">
        <v>223</v>
      </c>
      <c r="B189" s="7" t="str">
        <f>IF(A189=Label!A189,Label!B189,"not yet")</f>
        <v>OutOfScope: Cannot access</v>
      </c>
    </row>
    <row r="190">
      <c r="A190" s="12" t="s">
        <v>224</v>
      </c>
      <c r="B190" s="7" t="str">
        <f>IF(A190=Label!A190,Label!B190,"not yet")</f>
        <v>OutOfScope: New Story</v>
      </c>
    </row>
    <row r="191">
      <c r="A191" s="12" t="s">
        <v>225</v>
      </c>
      <c r="B191" s="7" t="str">
        <f>IF(A191=Label!A191,Label!B191,"not yet")</f>
        <v>New Text</v>
      </c>
    </row>
    <row r="192">
      <c r="A192" s="12" t="s">
        <v>226</v>
      </c>
      <c r="B192" s="7" t="str">
        <f>IF(A192=Label!A192,Label!B192,"not yet")</f>
        <v>Box Size Changed</v>
      </c>
    </row>
    <row r="193">
      <c r="A193" s="12" t="s">
        <v>227</v>
      </c>
      <c r="B193" s="7" t="str">
        <f>IF(A193=Label!A193,Label!B193,"not yet")</f>
        <v>OutOfScope: New Story</v>
      </c>
    </row>
    <row r="194">
      <c r="A194" s="12" t="s">
        <v>228</v>
      </c>
      <c r="B194" s="7" t="str">
        <f>IF(A194=Label!A194,Label!B194,"not yet")</f>
        <v>Box Size Changed</v>
      </c>
    </row>
    <row r="195">
      <c r="A195" s="12" t="s">
        <v>229</v>
      </c>
      <c r="B195" s="7" t="str">
        <f>IF(A195=Label!A195,Label!B195,"not yet")</f>
        <v>OutOfScope: Cannot access</v>
      </c>
    </row>
    <row r="196">
      <c r="A196" s="12" t="s">
        <v>230</v>
      </c>
      <c r="B196" s="7" t="str">
        <f>IF(A196=Label!A196,Label!B196,"not yet")</f>
        <v>OutOfScope: Duplicates</v>
      </c>
    </row>
    <row r="197">
      <c r="A197" s="12" t="s">
        <v>231</v>
      </c>
      <c r="B197" s="7" t="str">
        <f>IF(A197=Label!A197,Label!B197,"not yet")</f>
        <v>Layout Shifted</v>
      </c>
    </row>
    <row r="198">
      <c r="A198" s="12" t="s">
        <v>232</v>
      </c>
      <c r="B198" s="7" t="str">
        <f>IF(A198=Label!A198,Label!B198,"not yet")</f>
        <v>OutOfScope: New Story</v>
      </c>
    </row>
    <row r="199">
      <c r="A199" s="12" t="s">
        <v>233</v>
      </c>
      <c r="B199" s="7" t="str">
        <f>IF(A199=Label!A199,Label!B199,"not yet")</f>
        <v>Layout Shifted</v>
      </c>
    </row>
    <row r="200">
      <c r="A200" s="12" t="s">
        <v>234</v>
      </c>
      <c r="B200" s="7" t="str">
        <f>IF(A200=Label!A200,Label!B200,"not yet")</f>
        <v>Layout Changed</v>
      </c>
    </row>
    <row r="201">
      <c r="A201" s="12" t="s">
        <v>235</v>
      </c>
      <c r="B201" s="7" t="str">
        <f>IF(A201=Label!A201,Label!B201,"not yet")</f>
        <v>OutOfScope: Duplicates</v>
      </c>
    </row>
    <row r="202">
      <c r="A202" s="12" t="s">
        <v>236</v>
      </c>
      <c r="B202" s="7" t="str">
        <f>IF(A202=Label!A202,Label!B202,"not yet")</f>
        <v>Undefined/Wrong State is Shown</v>
      </c>
    </row>
    <row r="203">
      <c r="A203" s="12" t="s">
        <v>237</v>
      </c>
      <c r="B203" s="7" t="str">
        <f>IF(A203=Label!A203,Label!B203,"not yet")</f>
        <v>OutOfScope: Duplicates</v>
      </c>
    </row>
    <row r="204">
      <c r="A204" s="12" t="s">
        <v>238</v>
      </c>
      <c r="B204" s="7" t="str">
        <f>IF(A204=Label!A204,Label!B204,"not yet")</f>
        <v>Fragile Snapshot</v>
      </c>
    </row>
    <row r="205">
      <c r="A205" s="12" t="s">
        <v>240</v>
      </c>
      <c r="B205" s="7" t="str">
        <f>IF(A205=Label!A205,Label!B205,"not yet")</f>
        <v>Undefined/Wrong State is Shown</v>
      </c>
    </row>
    <row r="206">
      <c r="A206" s="12" t="s">
        <v>241</v>
      </c>
      <c r="B206" s="7" t="str">
        <f>IF(A206=Label!A206,Label!B206,"not yet")</f>
        <v>OutOfScope: Duplicates</v>
      </c>
    </row>
    <row r="207">
      <c r="A207" s="12" t="s">
        <v>242</v>
      </c>
      <c r="B207" s="7" t="str">
        <f>IF(A207=Label!A207,Label!B207,"not yet")</f>
        <v>OutOfScope: New Story</v>
      </c>
    </row>
    <row r="208">
      <c r="A208" s="12" t="s">
        <v>243</v>
      </c>
      <c r="B208" s="7" t="str">
        <f>IF(A208=Label!A208,Label!B208,"not yet")</f>
        <v>OutOfScope: Duplicates</v>
      </c>
    </row>
    <row r="209">
      <c r="A209" s="12" t="s">
        <v>244</v>
      </c>
      <c r="B209" s="7" t="str">
        <f>IF(A209=Label!A209,Label!B209,"not yet")</f>
        <v>Box Size Changed</v>
      </c>
    </row>
    <row r="210">
      <c r="A210" s="12" t="s">
        <v>245</v>
      </c>
      <c r="B210" s="7" t="str">
        <f>IF(A210=Label!A210,Label!B210,"not yet")</f>
        <v>OutOfScope: Cannot access</v>
      </c>
    </row>
    <row r="211">
      <c r="A211" s="12" t="s">
        <v>246</v>
      </c>
      <c r="B211" s="7" t="str">
        <f>IF(A211=Label!A211,Label!B211,"not yet")</f>
        <v>OutOfScope: New Story</v>
      </c>
    </row>
    <row r="212">
      <c r="A212" s="12" t="s">
        <v>247</v>
      </c>
      <c r="B212" s="7" t="str">
        <f>IF(A212=Label!A212,Label!B212,"not yet")</f>
        <v>Fragile Snapshot</v>
      </c>
    </row>
    <row r="213">
      <c r="A213" s="12" t="s">
        <v>248</v>
      </c>
      <c r="B213" s="7" t="str">
        <f>IF(A213=Label!A213,Label!B213,"not yet")</f>
        <v>OutOfScope: New Story</v>
      </c>
    </row>
    <row r="214">
      <c r="A214" s="12" t="s">
        <v>249</v>
      </c>
      <c r="B214" s="7" t="str">
        <f>IF(A214=Label!A214,Label!B214,"not yet")</f>
        <v>Text Disappeared</v>
      </c>
    </row>
    <row r="215">
      <c r="A215" s="12" t="s">
        <v>250</v>
      </c>
      <c r="B215" s="7" t="str">
        <f>IF(A215=Label!A215,Label!B215,"not yet")</f>
        <v>Text Color Changed</v>
      </c>
    </row>
    <row r="216">
      <c r="A216" s="12" t="s">
        <v>251</v>
      </c>
      <c r="B216" s="7" t="str">
        <f>IF(A216=Label!A216,Label!B216,"not yet")</f>
        <v>OutOfScope: Duplicates</v>
      </c>
    </row>
    <row r="217">
      <c r="A217" s="12" t="s">
        <v>252</v>
      </c>
      <c r="B217" s="7" t="str">
        <f>IF(A217=Label!A217,Label!B217,"not yet")</f>
        <v>OutOfScope: Cannot access</v>
      </c>
    </row>
    <row r="218">
      <c r="A218" s="12" t="s">
        <v>253</v>
      </c>
      <c r="B218" s="7" t="str">
        <f>IF(A218=Label!A218,Label!B218,"not yet")</f>
        <v>Box Size Changed</v>
      </c>
    </row>
    <row r="219">
      <c r="A219" s="12" t="s">
        <v>254</v>
      </c>
      <c r="B219" s="7" t="str">
        <f>IF(A219=Label!A219,Label!B219,"not yet")</f>
        <v>OutOfScope: Chromatic Error</v>
      </c>
    </row>
    <row r="220">
      <c r="A220" s="12" t="s">
        <v>255</v>
      </c>
      <c r="B220" s="7" t="str">
        <f>IF(A220=Label!A220,Label!B220,"not yet")</f>
        <v>Specific Items are Mis-aligned</v>
      </c>
    </row>
    <row r="221">
      <c r="A221" s="12" t="s">
        <v>256</v>
      </c>
      <c r="B221" s="7" t="str">
        <f>IF(A221=Label!A221,Label!B221,"not yet")</f>
        <v>Contents of Text Changed</v>
      </c>
    </row>
    <row r="222">
      <c r="A222" s="12" t="s">
        <v>257</v>
      </c>
      <c r="B222" s="7" t="str">
        <f>IF(A222=Label!A222,Label!B222,"not yet")</f>
        <v>New Contents</v>
      </c>
    </row>
    <row r="223">
      <c r="A223" s="12" t="s">
        <v>258</v>
      </c>
      <c r="B223" s="7" t="str">
        <f>IF(A223=Label!A223,Label!B223,"not yet")</f>
        <v>Size of Page/Header Changed</v>
      </c>
    </row>
    <row r="224">
      <c r="A224" s="12" t="s">
        <v>259</v>
      </c>
      <c r="B224" s="7" t="str">
        <f>IF(A224=Label!A224,Label!B224,"not yet")</f>
        <v>OutOfScope: Duplicates</v>
      </c>
    </row>
    <row r="225">
      <c r="A225" s="12" t="s">
        <v>260</v>
      </c>
      <c r="B225" s="7" t="str">
        <f>IF(A225=Label!A225,Label!B225,"not yet")</f>
        <v>OutOfScope: New Story</v>
      </c>
    </row>
    <row r="226">
      <c r="A226" s="12" t="s">
        <v>261</v>
      </c>
      <c r="B226" s="7" t="str">
        <f>IF(A226=Label!A226,Label!B226,"not yet")</f>
        <v>OutOfScope: New Story</v>
      </c>
    </row>
    <row r="227">
      <c r="A227" s="12" t="s">
        <v>262</v>
      </c>
      <c r="B227" s="7" t="str">
        <f>IF(A227=Label!A227,Label!B227,"not yet")</f>
        <v>Specific Items are Mis-aligned</v>
      </c>
    </row>
    <row r="228">
      <c r="A228" s="12" t="s">
        <v>263</v>
      </c>
      <c r="B228" s="7" t="str">
        <f>IF(A228=Label!A228,Label!B228,"not yet")</f>
        <v>Layout Shifted</v>
      </c>
    </row>
    <row r="229">
      <c r="A229" s="12" t="s">
        <v>264</v>
      </c>
      <c r="B229" s="7" t="str">
        <f>IF(A229=Label!A229,Label!B229,"not yet")</f>
        <v>Layout Shifted</v>
      </c>
    </row>
    <row r="230">
      <c r="A230" s="12" t="s">
        <v>265</v>
      </c>
      <c r="B230" s="7" t="str">
        <f>IF(A230=Label!A230,Label!B230,"not yet")</f>
        <v>OutOfScope: Duplicates</v>
      </c>
    </row>
    <row r="231">
      <c r="A231" s="12" t="s">
        <v>266</v>
      </c>
      <c r="B231" s="7" t="str">
        <f>IF(A231=Label!A231,Label!B231,"not yet")</f>
        <v>Text Color Changed</v>
      </c>
    </row>
    <row r="232">
      <c r="A232" s="12" t="s">
        <v>267</v>
      </c>
      <c r="B232" s="7" t="str">
        <f>IF(A232=Label!A232,Label!B232,"not yet")</f>
        <v>Box Size Changed</v>
      </c>
    </row>
    <row r="233">
      <c r="A233" s="12" t="s">
        <v>268</v>
      </c>
      <c r="B233" s="7" t="str">
        <f>IF(A233=Label!A233,Label!B233,"not yet")</f>
        <v>Text Color Changed</v>
      </c>
    </row>
    <row r="234">
      <c r="A234" s="12" t="s">
        <v>269</v>
      </c>
      <c r="B234" s="7" t="str">
        <f>IF(A234=Label!A234,Label!B234,"not yet")</f>
        <v>Box Shape Changed</v>
      </c>
    </row>
    <row r="235">
      <c r="A235" s="12" t="s">
        <v>270</v>
      </c>
      <c r="B235" s="7" t="str">
        <f>IF(A235=Label!A235,Label!B235,"not yet")</f>
        <v>Layout Shifted</v>
      </c>
    </row>
    <row r="236">
      <c r="A236" s="12" t="s">
        <v>271</v>
      </c>
      <c r="B236" s="7" t="str">
        <f>IF(A236=Label!A236,Label!B236,"not yet")</f>
        <v>Specific Items are Mis-aligned</v>
      </c>
    </row>
    <row r="237">
      <c r="A237" s="12" t="s">
        <v>272</v>
      </c>
      <c r="B237" s="7" t="str">
        <f>IF(A237=Label!A237,Label!B237,"not yet")</f>
        <v>Contents Disappeared</v>
      </c>
    </row>
    <row r="238">
      <c r="A238" s="12" t="s">
        <v>273</v>
      </c>
      <c r="B238" s="7" t="str">
        <f>IF(A238=Label!A238,Label!B238,"not yet")</f>
        <v>Border Color Changed</v>
      </c>
    </row>
    <row r="239">
      <c r="A239" s="12" t="s">
        <v>274</v>
      </c>
      <c r="B239" s="7" t="str">
        <f>IF(A239=Label!A239,Label!B239,"not yet")</f>
        <v>OutOfScope: Cannot access</v>
      </c>
    </row>
    <row r="240">
      <c r="A240" s="12" t="s">
        <v>275</v>
      </c>
      <c r="B240" s="7" t="str">
        <f>IF(A240=Label!A240,Label!B240,"not yet")</f>
        <v>Specific Items are Mis-aligned</v>
      </c>
    </row>
    <row r="241">
      <c r="A241" s="12" t="s">
        <v>276</v>
      </c>
      <c r="B241" s="7" t="str">
        <f>IF(A241=Label!A241,Label!B241,"not yet")</f>
        <v>OutOfScope: New Story</v>
      </c>
    </row>
    <row r="242">
      <c r="A242" s="12" t="s">
        <v>277</v>
      </c>
      <c r="B242" s="7" t="str">
        <f>IF(A242=Label!A242,Label!B242,"not yet")</f>
        <v>OutOfScope: New Story</v>
      </c>
    </row>
    <row r="243">
      <c r="A243" s="12" t="s">
        <v>278</v>
      </c>
      <c r="B243" s="7" t="str">
        <f>IF(A243=Label!A243,Label!B243,"not yet")</f>
        <v>OutOfScope: Duplicates</v>
      </c>
    </row>
    <row r="244">
      <c r="A244" s="12" t="s">
        <v>279</v>
      </c>
      <c r="B244" s="7" t="str">
        <f>IF(A244=Label!A244,Label!B244,"not yet")</f>
        <v>Layout Shifted</v>
      </c>
    </row>
    <row r="245">
      <c r="A245" s="12" t="s">
        <v>280</v>
      </c>
      <c r="B245" s="7" t="str">
        <f>IF(A245=Label!A245,Label!B245,"not yet")</f>
        <v>OutOfScope: Duplicates</v>
      </c>
    </row>
    <row r="246">
      <c r="A246" s="12" t="s">
        <v>281</v>
      </c>
      <c r="B246" s="7" t="str">
        <f>IF(A246=Label!A246,Label!B246,"not yet")</f>
        <v>OutOfScope: Duplicates</v>
      </c>
    </row>
    <row r="247">
      <c r="A247" s="12" t="s">
        <v>282</v>
      </c>
      <c r="B247" s="7" t="str">
        <f>IF(A247=Label!A247,Label!B247,"not yet")</f>
        <v>Box Size Changed</v>
      </c>
    </row>
    <row r="248">
      <c r="A248" s="12" t="s">
        <v>283</v>
      </c>
      <c r="B248" s="7" t="str">
        <f>IF(A248=Label!A248,Label!B248,"not yet")</f>
        <v>Box Size Changed</v>
      </c>
    </row>
    <row r="249">
      <c r="A249" s="12" t="s">
        <v>284</v>
      </c>
      <c r="B249" s="7" t="str">
        <f>IF(A249=Label!A249,Label!B249,"not yet")</f>
        <v>OutOfScope: Duplicates</v>
      </c>
    </row>
    <row r="250">
      <c r="A250" s="12" t="s">
        <v>285</v>
      </c>
      <c r="B250" s="7" t="str">
        <f>IF(A250=Label!A250,Label!B250,"not yet")</f>
        <v>Fragile Snapshot</v>
      </c>
    </row>
    <row r="251">
      <c r="A251" s="12" t="s">
        <v>286</v>
      </c>
      <c r="B251" s="7" t="str">
        <f>IF(A251=Label!A251,Label!B251,"not yet")</f>
        <v>Box Shape Changed</v>
      </c>
    </row>
    <row r="252">
      <c r="A252" s="12" t="s">
        <v>287</v>
      </c>
      <c r="B252" s="7" t="str">
        <f>IF(A252=Label!A252,Label!B252,"not yet")</f>
        <v>Text Size Changed</v>
      </c>
    </row>
    <row r="253">
      <c r="A253" s="12" t="s">
        <v>288</v>
      </c>
      <c r="B253" s="7" t="str">
        <f>IF(A253=Label!A253,Label!B253,"not yet")</f>
        <v>Layout Changed</v>
      </c>
    </row>
    <row r="254">
      <c r="A254" s="12" t="s">
        <v>289</v>
      </c>
      <c r="B254" s="7" t="str">
        <f>IF(A254=Label!A254,Label!B254,"not yet")</f>
        <v>OutOfScope: Duplicates</v>
      </c>
    </row>
    <row r="255">
      <c r="A255" s="12" t="s">
        <v>290</v>
      </c>
      <c r="B255" s="7" t="str">
        <f>IF(A255=Label!A255,Label!B255,"not yet")</f>
        <v>OutOfScope: Not VRT Discussion</v>
      </c>
    </row>
    <row r="256">
      <c r="A256" s="12" t="s">
        <v>291</v>
      </c>
      <c r="B256" s="7" t="str">
        <f>IF(A256=Label!A256,Label!B256,"not yet")</f>
        <v>OutOfScope: Duplicates</v>
      </c>
    </row>
    <row r="257">
      <c r="A257" s="12" t="s">
        <v>292</v>
      </c>
      <c r="B257" s="7" t="str">
        <f>IF(A257=Label!A257,Label!B257,"not yet")</f>
        <v>Box Color Changed</v>
      </c>
    </row>
    <row r="258">
      <c r="A258" s="12" t="s">
        <v>293</v>
      </c>
      <c r="B258" s="7" t="str">
        <f>IF(A258=Label!A258,Label!B258,"not yet")</f>
        <v>Box Size Changed</v>
      </c>
    </row>
    <row r="259">
      <c r="A259" s="12" t="s">
        <v>294</v>
      </c>
      <c r="B259" s="7" t="str">
        <f>IF(A259=Label!A259,Label!B259,"not yet")</f>
        <v>OutOfScope: Duplicates</v>
      </c>
    </row>
    <row r="260">
      <c r="A260" s="12" t="s">
        <v>295</v>
      </c>
      <c r="B260" s="7" t="str">
        <f>IF(A260=Label!A260,Label!B260,"not yet")</f>
        <v>OutOfScope: Duplicates</v>
      </c>
    </row>
    <row r="261">
      <c r="A261" s="12" t="s">
        <v>296</v>
      </c>
      <c r="B261" s="7" t="str">
        <f>IF(A261=Label!A261,Label!B261,"not yet")</f>
        <v>OutOfScope: Not VRT Discussion</v>
      </c>
    </row>
    <row r="262">
      <c r="A262" s="12" t="s">
        <v>297</v>
      </c>
      <c r="B262" s="7" t="str">
        <f>IF(A262=Label!A262,Label!B262,"not yet")</f>
        <v>Box Color Changed</v>
      </c>
    </row>
    <row r="263">
      <c r="A263" s="12" t="s">
        <v>298</v>
      </c>
      <c r="B263" s="7" t="str">
        <f>IF(A263=Label!A263,Label!B263,"not yet")</f>
        <v>No or Few Visual Diffrences Detected</v>
      </c>
    </row>
    <row r="264">
      <c r="A264" s="12" t="s">
        <v>299</v>
      </c>
      <c r="B264" s="7" t="str">
        <f>IF(A264=Label!A264,Label!B264,"not yet")</f>
        <v>Box Size Changed</v>
      </c>
    </row>
    <row r="265">
      <c r="A265" s="12" t="s">
        <v>300</v>
      </c>
      <c r="B265" s="7" t="str">
        <f>IF(A265=Label!A265,Label!B265,"not yet")</f>
        <v>Image Adjusted</v>
      </c>
    </row>
    <row r="266">
      <c r="A266" s="12" t="s">
        <v>301</v>
      </c>
      <c r="B266" s="7" t="str">
        <f>IF(A266=Label!A266,Label!B266,"not yet")</f>
        <v>Image Adjusted</v>
      </c>
    </row>
    <row r="267">
      <c r="A267" s="12" t="s">
        <v>302</v>
      </c>
      <c r="B267" s="7" t="str">
        <f>IF(A267=Label!A267,Label!B267,"not yet")</f>
        <v>Box Shape Changed</v>
      </c>
    </row>
    <row r="268">
      <c r="A268" s="12" t="s">
        <v>303</v>
      </c>
      <c r="B268" s="7" t="str">
        <f>IF(A268=Label!A268,Label!B268,"not yet")</f>
        <v>OutOfScope: Duplicates</v>
      </c>
    </row>
    <row r="269">
      <c r="A269" s="12" t="s">
        <v>304</v>
      </c>
      <c r="B269" s="7" t="str">
        <f>IF(A269=Label!A269,Label!B269,"not yet")</f>
        <v>Box Size Changed</v>
      </c>
    </row>
    <row r="270">
      <c r="A270" s="12" t="s">
        <v>305</v>
      </c>
      <c r="B270" s="7" t="str">
        <f>IF(A270=Label!A270,Label!B270,"not yet")</f>
        <v>OutOfScope: Duplicates</v>
      </c>
    </row>
    <row r="271">
      <c r="A271" s="12" t="s">
        <v>306</v>
      </c>
      <c r="B271" s="7" t="str">
        <f>IF(A271=Label!A271,Label!B271,"not yet")</f>
        <v>Image Adjusted</v>
      </c>
    </row>
    <row r="272">
      <c r="A272" s="12" t="s">
        <v>307</v>
      </c>
      <c r="B272" s="7" t="str">
        <f>IF(A272=Label!A272,Label!B272,"not yet")</f>
        <v>Contents of Text Changed</v>
      </c>
    </row>
    <row r="273">
      <c r="A273" s="12" t="s">
        <v>308</v>
      </c>
      <c r="B273" s="7" t="str">
        <f>IF(A273=Label!A273,Label!B273,"not yet")</f>
        <v>Layout Changed</v>
      </c>
    </row>
    <row r="274">
      <c r="A274" s="12" t="s">
        <v>309</v>
      </c>
      <c r="B274" s="7" t="str">
        <f>IF(A274=Label!A274,Label!B274,"not yet")</f>
        <v>OutOfScope: Duplicates</v>
      </c>
    </row>
    <row r="275">
      <c r="A275" s="12" t="s">
        <v>310</v>
      </c>
      <c r="B275" s="7" t="str">
        <f>IF(A275=Label!A275,Label!B275,"not yet")</f>
        <v>OutOfScope: Duplicates</v>
      </c>
    </row>
    <row r="276">
      <c r="A276" s="12" t="s">
        <v>311</v>
      </c>
      <c r="B276" s="7" t="str">
        <f>IF(A276=Label!A276,Label!B276,"not yet")</f>
        <v>OutOfScope: Duplicates</v>
      </c>
    </row>
    <row r="277">
      <c r="A277" s="12" t="s">
        <v>312</v>
      </c>
      <c r="B277" s="7" t="str">
        <f>IF(A277=Label!A277,Label!B277,"not yet")</f>
        <v>Layout Changed</v>
      </c>
    </row>
    <row r="278">
      <c r="A278" s="12" t="s">
        <v>313</v>
      </c>
      <c r="B278" s="7" t="str">
        <f>IF(A278=Label!A278,Label!B278,"not yet")</f>
        <v>OutOfScope: Duplicates</v>
      </c>
    </row>
    <row r="279">
      <c r="A279" s="12" t="s">
        <v>314</v>
      </c>
      <c r="B279" s="7" t="str">
        <f>IF(A279=Label!A279,Label!B279,"not yet")</f>
        <v>Layout Changed</v>
      </c>
    </row>
    <row r="280">
      <c r="A280" s="12" t="s">
        <v>315</v>
      </c>
      <c r="B280" s="7" t="str">
        <f>IF(A280=Label!A280,Label!B280,"not yet")</f>
        <v>Layout Shifted</v>
      </c>
    </row>
    <row r="281">
      <c r="A281" s="12" t="s">
        <v>316</v>
      </c>
      <c r="B281" s="7" t="str">
        <f>IF(A281=Label!A281,Label!B281,"not yet")</f>
        <v>New Contents</v>
      </c>
    </row>
    <row r="282">
      <c r="A282" s="12" t="s">
        <v>317</v>
      </c>
      <c r="B282" s="7" t="str">
        <f>IF(A282=Label!A282,Label!B282,"not yet")</f>
        <v>OutOfScope: New Story</v>
      </c>
    </row>
    <row r="283">
      <c r="A283" s="12" t="s">
        <v>318</v>
      </c>
      <c r="B283" s="7" t="str">
        <f>IF(A283=Label!A283,Label!B283,"not yet")</f>
        <v>OutOfScope: New Story</v>
      </c>
    </row>
    <row r="284">
      <c r="A284" s="12" t="s">
        <v>319</v>
      </c>
      <c r="B284" s="7" t="str">
        <f>IF(A284=Label!A284,Label!B284,"not yet")</f>
        <v>Box Shape Changed</v>
      </c>
    </row>
    <row r="285">
      <c r="A285" s="12" t="s">
        <v>320</v>
      </c>
      <c r="B285" s="7" t="str">
        <f>IF(A285=Label!A285,Label!B285,"not yet")</f>
        <v>Layout Shifted</v>
      </c>
    </row>
    <row r="286">
      <c r="A286" s="12" t="s">
        <v>321</v>
      </c>
      <c r="B286" s="7" t="str">
        <f>IF(A286=Label!A286,Label!B286,"not yet")</f>
        <v>Layout Changed</v>
      </c>
    </row>
    <row r="287">
      <c r="A287" s="12" t="s">
        <v>322</v>
      </c>
      <c r="B287" s="7" t="str">
        <f>IF(A287=Label!A287,Label!B287,"not yet")</f>
        <v>OutOfScope: Chromatic Error</v>
      </c>
    </row>
    <row r="288">
      <c r="A288" s="12" t="s">
        <v>323</v>
      </c>
      <c r="B288" s="7" t="str">
        <f>IF(A288=Label!A288,Label!B288,"not yet")</f>
        <v>Size of Page/Header Changed</v>
      </c>
    </row>
    <row r="289">
      <c r="A289" s="12" t="s">
        <v>324</v>
      </c>
      <c r="B289" s="7" t="str">
        <f>IF(A289=Label!A289,Label!B289,"not yet")</f>
        <v>Layout Shifted</v>
      </c>
    </row>
    <row r="290">
      <c r="A290" s="12" t="s">
        <v>325</v>
      </c>
      <c r="B290" s="7" t="str">
        <f>IF(A290=Label!A290,Label!B290,"not yet")</f>
        <v>Box Disappeared</v>
      </c>
    </row>
    <row r="291">
      <c r="A291" s="12" t="s">
        <v>326</v>
      </c>
      <c r="B291" s="7" t="str">
        <f>IF(A291=Label!A291,Label!B291,"not yet")</f>
        <v>OutOfScope: Duplicates</v>
      </c>
    </row>
    <row r="292">
      <c r="A292" s="12" t="s">
        <v>327</v>
      </c>
      <c r="B292" s="7" t="str">
        <f>IF(A292=Label!A292,Label!B292,"not yet")</f>
        <v>Layout Shifted</v>
      </c>
    </row>
    <row r="293">
      <c r="A293" s="12" t="s">
        <v>328</v>
      </c>
      <c r="B293" s="7" t="str">
        <f>IF(A293=Label!A293,Label!B293,"not yet")</f>
        <v>OutOfScope: New Story</v>
      </c>
    </row>
    <row r="294">
      <c r="A294" s="12" t="s">
        <v>329</v>
      </c>
      <c r="B294" s="7" t="str">
        <f>IF(A294=Label!A294,Label!B294,"not yet")</f>
        <v>Border Disappeared</v>
      </c>
    </row>
    <row r="295">
      <c r="A295" s="12" t="s">
        <v>330</v>
      </c>
      <c r="B295" s="7" t="str">
        <f>IF(A295=Label!A295,Label!B295,"not yet")</f>
        <v>No or Few Visual Diffrences Detected</v>
      </c>
    </row>
    <row r="296">
      <c r="A296" s="12" t="s">
        <v>331</v>
      </c>
      <c r="B296" s="7" t="str">
        <f>IF(A296=Label!A296,Label!B296,"not yet")</f>
        <v>OutOfScope: New Story</v>
      </c>
    </row>
    <row r="297">
      <c r="A297" s="12" t="s">
        <v>332</v>
      </c>
      <c r="B297" s="7" t="str">
        <f>IF(A297=Label!A297,Label!B297,"not yet")</f>
        <v>Size of Page/Header Changed</v>
      </c>
    </row>
    <row r="298">
      <c r="A298" s="12" t="s">
        <v>333</v>
      </c>
      <c r="B298" s="7" t="str">
        <f>IF(A298=Label!A298,Label!B298,"not yet")</f>
        <v>OutOfScope: New Story</v>
      </c>
    </row>
    <row r="299">
      <c r="A299" s="12" t="s">
        <v>334</v>
      </c>
      <c r="B299" s="7" t="str">
        <f>IF(A299=Label!A299,Label!B299,"not yet")</f>
        <v>Undefined/Wrong State is Shown</v>
      </c>
    </row>
    <row r="300">
      <c r="A300" s="12" t="s">
        <v>335</v>
      </c>
      <c r="B300" s="7" t="str">
        <f>IF(A300=Label!A300,Label!B300,"not yet")</f>
        <v>OutOfScope: New Story</v>
      </c>
    </row>
    <row r="301">
      <c r="A301" s="12" t="s">
        <v>336</v>
      </c>
      <c r="B301" s="7" t="str">
        <f>IF(A301=Label!A301,Label!B301,"not yet")</f>
        <v>No or Few Visual Diffrences Detected</v>
      </c>
    </row>
    <row r="302">
      <c r="A302" s="12" t="s">
        <v>337</v>
      </c>
      <c r="B302" s="7" t="str">
        <f>IF(A302=Label!A302,Label!B302,"not yet")</f>
        <v>New Buttons</v>
      </c>
    </row>
    <row r="303">
      <c r="A303" s="12" t="s">
        <v>338</v>
      </c>
      <c r="B303" s="7" t="str">
        <f>IF(A303=Label!A303,Label!B303,"not yet")</f>
        <v>Layout Changed</v>
      </c>
    </row>
    <row r="304">
      <c r="A304" s="12" t="s">
        <v>339</v>
      </c>
      <c r="B304" s="7" t="str">
        <f>IF(A304=Label!A304,Label!B304,"not yet")</f>
        <v>Text Disappeared</v>
      </c>
    </row>
    <row r="305">
      <c r="A305" s="12" t="s">
        <v>340</v>
      </c>
      <c r="B305" s="7" t="str">
        <f>IF(A305=Label!A305,Label!B305,"not yet")</f>
        <v>OutOfScope: Cannot access</v>
      </c>
    </row>
    <row r="306">
      <c r="A306" s="12" t="s">
        <v>341</v>
      </c>
      <c r="B306" s="7" t="str">
        <f>IF(A306=Label!A306,Label!B306,"not yet")</f>
        <v>Contents Disappeared</v>
      </c>
    </row>
    <row r="307">
      <c r="A307" s="12" t="s">
        <v>342</v>
      </c>
      <c r="B307" s="7" t="str">
        <f>IF(A307=Label!A307,Label!B307,"not yet")</f>
        <v>Box Size Changed</v>
      </c>
    </row>
    <row r="308">
      <c r="A308" s="12" t="s">
        <v>343</v>
      </c>
      <c r="B308" s="7" t="str">
        <f>IF(A308=Label!A308,Label!B308,"not yet")</f>
        <v>OutOfScope: New Story</v>
      </c>
    </row>
    <row r="309">
      <c r="A309" s="12" t="s">
        <v>344</v>
      </c>
      <c r="B309" s="7" t="str">
        <f>IF(A309=Label!A309,Label!B309,"not yet")</f>
        <v>OutOfScope: Duplicates</v>
      </c>
    </row>
    <row r="310">
      <c r="A310" s="12" t="s">
        <v>191</v>
      </c>
      <c r="B310" s="7" t="str">
        <f>IF(A310=#REF!,#REF!,"no")</f>
        <v>#REF!</v>
      </c>
      <c r="C310" s="7" t="str">
        <f>IF(A310=#REF!,#REF!,"no")</f>
        <v>#REF!</v>
      </c>
    </row>
    <row r="311">
      <c r="A311" s="12" t="s">
        <v>345</v>
      </c>
      <c r="B311" s="7" t="str">
        <f>IF(A311=Conflict!A2,Conflict!I2,"no")</f>
        <v>OutOfScope: Not VRT Discussion</v>
      </c>
      <c r="C311" s="7" t="str">
        <f>IF(A311=Conflict!A2,Conflict!J2,"no")</f>
        <v/>
      </c>
    </row>
    <row r="312">
      <c r="A312" s="12" t="s">
        <v>192</v>
      </c>
      <c r="B312" s="7" t="str">
        <f>IF(A312=#REF!,#REF!,"no")</f>
        <v>#REF!</v>
      </c>
      <c r="C312" s="7" t="str">
        <f>IF(A312=#REF!,#REF!,"no")</f>
        <v>#REF!</v>
      </c>
    </row>
    <row r="313">
      <c r="A313" s="12" t="s">
        <v>346</v>
      </c>
      <c r="B313" s="7" t="str">
        <f>IF(A313=Conflict!A3,Conflict!I3,"no")</f>
        <v>OutOfScope: Duplicates</v>
      </c>
      <c r="C313" s="7" t="str">
        <f>IF(A313=Conflict!A3,Conflict!J3,"no")</f>
        <v/>
      </c>
    </row>
    <row r="314">
      <c r="A314" s="12" t="s">
        <v>347</v>
      </c>
      <c r="B314" s="7" t="str">
        <f>IF(A314=Conflict!A4,Conflict!I4,"no")</f>
        <v>OutOfScope: Duplicates</v>
      </c>
      <c r="C314" s="7" t="str">
        <f>IF(A314=Conflict!A4,Conflict!J4,"no")</f>
        <v/>
      </c>
    </row>
    <row r="315">
      <c r="A315" s="12" t="s">
        <v>348</v>
      </c>
      <c r="B315" s="7" t="str">
        <f>IF(A315=Conflict!A5,Conflict!I5,"no")</f>
        <v>Box Size Changed</v>
      </c>
      <c r="C315" s="7" t="str">
        <f>IF(A315=Conflict!A5,Conflict!J5,"no")</f>
        <v/>
      </c>
    </row>
    <row r="316">
      <c r="A316" s="12" t="s">
        <v>349</v>
      </c>
      <c r="B316" s="7" t="str">
        <f>IF(A316=Conflict!A6,Conflict!I6,"no")</f>
        <v>OutOfScope: New Story</v>
      </c>
      <c r="C316" s="7" t="str">
        <f>IF(A316=Conflict!A6,Conflict!J6,"no")</f>
        <v/>
      </c>
    </row>
    <row r="317">
      <c r="A317" s="12" t="s">
        <v>350</v>
      </c>
      <c r="B317" s="7" t="str">
        <f>IF(A317=Conflict!A7,Conflict!I7,"no")</f>
        <v>OutOfScope: New Story</v>
      </c>
      <c r="C317" s="7" t="str">
        <f>IF(A317=Conflict!A7,Conflict!J7,"no")</f>
        <v/>
      </c>
    </row>
    <row r="318">
      <c r="A318" s="12" t="s">
        <v>351</v>
      </c>
      <c r="B318" s="7" t="str">
        <f>IF(A318=Conflict!A8,Conflict!I8,"no")</f>
        <v>Contents of Text Changed</v>
      </c>
      <c r="C318" s="7" t="str">
        <f>IF(A318=Conflict!A8,Conflict!J8,"no")</f>
        <v/>
      </c>
    </row>
    <row r="319">
      <c r="A319" s="12" t="s">
        <v>352</v>
      </c>
      <c r="B319" s="7" t="str">
        <f>IF(A319=Conflict!A9,Conflict!I9,"no")</f>
        <v>No or Few Visual Diffrences Detected</v>
      </c>
      <c r="C319" s="7" t="str">
        <f>IF(A319=Conflict!A9,Conflict!J9,"no")</f>
        <v/>
      </c>
    </row>
    <row r="320">
      <c r="A320" s="12" t="s">
        <v>353</v>
      </c>
      <c r="B320" s="7" t="str">
        <f>IF(A320=Conflict!A10,Conflict!I10,"no")</f>
        <v>Border Color Changed</v>
      </c>
      <c r="C320" s="7" t="str">
        <f>IF(A320=Conflict!A10,Conflict!J10,"no")</f>
        <v/>
      </c>
    </row>
    <row r="321">
      <c r="A321" s="12" t="s">
        <v>354</v>
      </c>
      <c r="B321" s="7" t="str">
        <f>IF(A321=Conflict!A11,Conflict!I11,"no")</f>
        <v>OutOfScope: New Story</v>
      </c>
      <c r="C321" s="7" t="str">
        <f>IF(A321=Conflict!A11,Conflict!J11,"no")</f>
        <v/>
      </c>
    </row>
    <row r="322">
      <c r="A322" s="12" t="s">
        <v>355</v>
      </c>
      <c r="B322" s="7" t="str">
        <f>IF(A322=Conflict!A12,Conflict!I12,"no")</f>
        <v>New Contents</v>
      </c>
      <c r="C322" s="7" t="str">
        <f>IF(A322=Conflict!A12,Conflict!J12,"no")</f>
        <v>Box Color Changed</v>
      </c>
    </row>
    <row r="323">
      <c r="A323" s="12" t="s">
        <v>356</v>
      </c>
      <c r="B323" s="7" t="str">
        <f>IF(A323=Conflict!A13,Conflict!I13,"no")</f>
        <v>Layout Shifted</v>
      </c>
      <c r="C323" s="7" t="str">
        <f>IF(A323=Conflict!A13,Conflict!J13,"no")</f>
        <v/>
      </c>
    </row>
    <row r="324">
      <c r="A324" s="12" t="s">
        <v>357</v>
      </c>
      <c r="B324" s="7" t="str">
        <f>IF(A324=Conflict!A14,Conflict!I14,"no")</f>
        <v>OutOfScope: Duplicates</v>
      </c>
      <c r="C324" s="7" t="str">
        <f>IF(A324=Conflict!A14,Conflict!J14,"no")</f>
        <v/>
      </c>
    </row>
    <row r="325">
      <c r="A325" s="12" t="s">
        <v>358</v>
      </c>
      <c r="B325" s="7" t="str">
        <f>IF(A325=Conflict!A15,Conflict!I15,"no")</f>
        <v>Layout Shifted</v>
      </c>
      <c r="C325" s="7" t="str">
        <f>IF(A325=Conflict!A15,Conflict!J15,"no")</f>
        <v/>
      </c>
    </row>
    <row r="326">
      <c r="A326" s="12" t="s">
        <v>359</v>
      </c>
      <c r="B326" s="7" t="str">
        <f>IF(A326=Conflict!A16,Conflict!I16,"no")</f>
        <v>Layout Shifted</v>
      </c>
      <c r="C326" s="7" t="str">
        <f>IF(A326=Conflict!A16,Conflict!J16,"no")</f>
        <v/>
      </c>
    </row>
    <row r="327">
      <c r="A327" s="12" t="s">
        <v>360</v>
      </c>
      <c r="B327" s="7" t="str">
        <f>IF(A327=Conflict!A17,Conflict!I17,"no")</f>
        <v>OutOfScope: New Story</v>
      </c>
      <c r="C327" s="7" t="str">
        <f>IF(A327=Conflict!A17,Conflict!J17,"no")</f>
        <v/>
      </c>
    </row>
    <row r="328">
      <c r="A328" s="12" t="s">
        <v>361</v>
      </c>
      <c r="B328" s="7" t="str">
        <f>IF(A328=Conflict!A18,Conflict!I18,"no")</f>
        <v>OutOfScope: New Story</v>
      </c>
      <c r="C328" s="7" t="str">
        <f>IF(A328=Conflict!A18,Conflict!J18,"no")</f>
        <v/>
      </c>
    </row>
    <row r="329">
      <c r="A329" s="12" t="s">
        <v>362</v>
      </c>
      <c r="B329" s="7" t="str">
        <f>IF(A329=Conflict!A19,Conflict!I19,"no")</f>
        <v>OutOfScope: New Story</v>
      </c>
      <c r="C329" s="7" t="str">
        <f>IF(A329=Conflict!A19,Conflict!J19,"no")</f>
        <v/>
      </c>
    </row>
    <row r="330">
      <c r="A330" s="12" t="s">
        <v>363</v>
      </c>
      <c r="B330" s="7" t="str">
        <f>IF(A330=Conflict!A20,Conflict!I20,"no")</f>
        <v>OutOfScope: New Story</v>
      </c>
      <c r="C330" s="7" t="str">
        <f>IF(A330=Conflict!A20,Conflict!J20,"no")</f>
        <v/>
      </c>
    </row>
    <row r="331">
      <c r="A331" s="12" t="s">
        <v>364</v>
      </c>
      <c r="B331" s="7" t="str">
        <f>IF(A331=Conflict!A21,Conflict!I21,"no")</f>
        <v>OutOfScope: Chromatic Error</v>
      </c>
      <c r="C331" s="7" t="str">
        <f>IF(A331=Conflict!A21,Conflict!J21,"no")</f>
        <v/>
      </c>
    </row>
    <row r="332">
      <c r="A332" s="12" t="s">
        <v>365</v>
      </c>
      <c r="B332" s="7" t="str">
        <f>IF(A332=Conflict!A22,Conflict!I22,"no")</f>
        <v>OutOfScope: New Story</v>
      </c>
      <c r="C332" s="7" t="str">
        <f>IF(A332=Conflict!A22,Conflict!J22,"no")</f>
        <v/>
      </c>
    </row>
    <row r="333">
      <c r="A333" s="12" t="s">
        <v>366</v>
      </c>
      <c r="B333" s="7" t="str">
        <f>IF(A333=Conflict!A23,Conflict!I23,"no")</f>
        <v>Undefined/Wrong State is Shown</v>
      </c>
      <c r="C333" s="7" t="str">
        <f>IF(A333=Conflict!A23,Conflict!J23,"no")</f>
        <v/>
      </c>
    </row>
    <row r="334">
      <c r="A334" s="12" t="s">
        <v>367</v>
      </c>
      <c r="B334" s="7" t="str">
        <f>IF(A334=Conflict!A24,Conflict!I24,"no")</f>
        <v>Layout Shifted</v>
      </c>
      <c r="C334" s="7" t="str">
        <f>IF(A334=Conflict!A24,Conflict!J24,"no")</f>
        <v/>
      </c>
    </row>
    <row r="335">
      <c r="A335" s="12" t="s">
        <v>368</v>
      </c>
      <c r="B335" s="7" t="str">
        <f>IF(A335=Conflict!A25,Conflict!I25,"no")</f>
        <v>OutOfScope: Not VRT Discussion</v>
      </c>
      <c r="C335" s="7" t="str">
        <f>IF(A335=Conflict!A25,Conflict!J25,"no")</f>
        <v/>
      </c>
    </row>
    <row r="336">
      <c r="A336" s="12" t="s">
        <v>369</v>
      </c>
      <c r="B336" s="7" t="str">
        <f>IF(A336=Conflict!A26,Conflict!I26,"no")</f>
        <v>OutOfScope: New Story</v>
      </c>
      <c r="C336" s="7" t="str">
        <f>IF(A336=Conflict!A26,Conflict!J26,"no")</f>
        <v/>
      </c>
    </row>
    <row r="337">
      <c r="A337" s="12" t="s">
        <v>370</v>
      </c>
      <c r="B337" s="7" t="str">
        <f>IF(A337=Conflict!A27,Conflict!I27,"no")</f>
        <v>Layout Shifted</v>
      </c>
      <c r="C337" s="7" t="str">
        <f>IF(A337=Conflict!A27,Conflict!J27,"no")</f>
        <v>New Contents</v>
      </c>
    </row>
    <row r="338">
      <c r="A338" s="12" t="s">
        <v>371</v>
      </c>
      <c r="B338" s="7" t="str">
        <f>IF(A338=Conflict!A28,Conflict!I28,"no")</f>
        <v>Layout Shifted</v>
      </c>
      <c r="C338" s="7" t="str">
        <f>IF(A338=Conflict!A28,Conflict!J28,"no")</f>
        <v/>
      </c>
    </row>
    <row r="339">
      <c r="A339" s="12" t="s">
        <v>372</v>
      </c>
      <c r="B339" s="7" t="str">
        <f>IF(A339=Conflict!A29,Conflict!I29,"no")</f>
        <v>Box Color Changed</v>
      </c>
      <c r="C339" s="7" t="str">
        <f>IF(A339=Conflict!A29,Conflict!J29,"no")</f>
        <v/>
      </c>
    </row>
    <row r="340">
      <c r="A340" s="12" t="s">
        <v>373</v>
      </c>
      <c r="B340" s="7" t="str">
        <f>IF(A340=Conflict!A30,Conflict!I30,"no")</f>
        <v>Border Color Changed</v>
      </c>
      <c r="C340" s="7" t="str">
        <f>IF(A340=Conflict!A30,Conflict!J30,"no")</f>
        <v/>
      </c>
    </row>
    <row r="341">
      <c r="A341" s="12" t="s">
        <v>374</v>
      </c>
      <c r="B341" s="7" t="str">
        <f>IF(A341=Conflict!A31,Conflict!I31,"no")</f>
        <v>OutOfScope: Chromatic Error</v>
      </c>
      <c r="C341" s="7" t="str">
        <f>IF(A341=Conflict!A31,Conflict!J31,"no")</f>
        <v/>
      </c>
    </row>
    <row r="342">
      <c r="A342" s="12" t="s">
        <v>375</v>
      </c>
      <c r="B342" s="7" t="str">
        <f>IF(A342=Conflict!A32,Conflict!I32,"no")</f>
        <v>Layout Shifted</v>
      </c>
      <c r="C342" s="7" t="str">
        <f>IF(A342=Conflict!A32,Conflict!J32,"no")</f>
        <v/>
      </c>
    </row>
    <row r="343">
      <c r="A343" s="12" t="s">
        <v>376</v>
      </c>
      <c r="B343" s="7" t="str">
        <f>IF(A343=Conflict!A33,Conflict!I33,"no")</f>
        <v>Layout Changed</v>
      </c>
      <c r="C343" s="7" t="str">
        <f>IF(A343=Conflict!A33,Conflict!J33,"no")</f>
        <v/>
      </c>
    </row>
    <row r="344">
      <c r="A344" s="12" t="s">
        <v>377</v>
      </c>
      <c r="B344" s="7" t="str">
        <f>IF(A344=Conflict!A34,Conflict!I34,"no")</f>
        <v>OutOfScope: New Story</v>
      </c>
      <c r="C344" s="7" t="str">
        <f>IF(A344=Conflict!A34,Conflict!J34,"no")</f>
        <v/>
      </c>
    </row>
    <row r="345">
      <c r="A345" s="12" t="s">
        <v>378</v>
      </c>
      <c r="B345" s="7" t="str">
        <f>IF(A345=Conflict!A35,Conflict!I35,"no")</f>
        <v>OutOfScope: New Story</v>
      </c>
      <c r="C345" s="7" t="str">
        <f>IF(A345=Conflict!A35,Conflict!J35,"no")</f>
        <v/>
      </c>
    </row>
  </sheetData>
  <hyperlinks>
    <hyperlink r:id="rId1" location="discussion_r1083565846" ref="A2"/>
    <hyperlink r:id="rId2" location="discussion_r1083724374" ref="A3"/>
    <hyperlink r:id="rId3" location="discussion_r1074023214" ref="A4"/>
    <hyperlink r:id="rId4" location="issuecomment-1383873154" ref="A5"/>
    <hyperlink r:id="rId5" location="issuecomment-1440357711" ref="A6"/>
    <hyperlink r:id="rId6" location="issuecomment-1426807019" ref="A7"/>
    <hyperlink r:id="rId7" location="issuecomment-1422355751" ref="A8"/>
    <hyperlink r:id="rId8" location="issuecomment-1422375286" ref="A9"/>
    <hyperlink r:id="rId9" location="issuecomment-1422416345" ref="A10"/>
    <hyperlink r:id="rId10" location="discussion_r1146494323" ref="A11"/>
    <hyperlink r:id="rId11" location="issuecomment-1481577294" ref="A12"/>
    <hyperlink r:id="rId12" location="issuecomment-1486132202" ref="A13"/>
    <hyperlink r:id="rId13" location="issuecomment-1486151336" ref="A14"/>
    <hyperlink r:id="rId14" location="discussion_r1127264221" ref="A15"/>
    <hyperlink r:id="rId15" location="issuecomment-1482782327" ref="A16"/>
    <hyperlink r:id="rId16" location="issuecomment-1485049856" ref="A17"/>
    <hyperlink r:id="rId17" location="issuecomment-1468376389" ref="A18"/>
    <hyperlink r:id="rId18" location="discussion_r1155937820" ref="A19"/>
    <hyperlink r:id="rId19" location="issuecomment-1513081507" ref="A20"/>
    <hyperlink r:id="rId20" location="issuecomment-1523711377" ref="A21"/>
    <hyperlink r:id="rId21" location="issuecomment-1523829146" ref="A22"/>
    <hyperlink r:id="rId22" location="discussion_r1156498711" ref="A23"/>
    <hyperlink r:id="rId23" location="issuecomment-1576578560" ref="A24"/>
    <hyperlink r:id="rId24" location="issuecomment-1582606514" ref="A25"/>
    <hyperlink r:id="rId25" location="issuecomment-1582829867" ref="A26"/>
    <hyperlink r:id="rId26" location="issuecomment-1590831197" ref="A27"/>
    <hyperlink r:id="rId27" location="issuecomment-1582854272" ref="A28"/>
    <hyperlink r:id="rId28" location="discussion_r1235304399" ref="A29"/>
    <hyperlink r:id="rId29" location="discussion_r1235309846" ref="A30"/>
    <hyperlink r:id="rId30" location="issuecomment-1578506842" ref="A31"/>
    <hyperlink r:id="rId31" location="issuecomment-1578517673" ref="A32"/>
    <hyperlink r:id="rId32" location="discussion_r1263879886" ref="A33"/>
    <hyperlink r:id="rId33" location="issuecomment-1597866592" ref="A34"/>
    <hyperlink r:id="rId34" location="issuecomment-1675592946" ref="A35"/>
    <hyperlink r:id="rId35" location="issuecomment-1624983316" ref="A36"/>
    <hyperlink r:id="rId36" location="issuecomment-1672650566" ref="A37"/>
    <hyperlink r:id="rId37" location="issuecomment-1689636196" ref="A38"/>
    <hyperlink r:id="rId38" location="issuecomment-1672651113" ref="A39"/>
    <hyperlink r:id="rId39" location="issuecomment-1689209740" ref="A40"/>
    <hyperlink r:id="rId40" location="issuecomment-1690111304" ref="A41"/>
    <hyperlink r:id="rId41" location="discussion_r1303995244" ref="A42"/>
    <hyperlink r:id="rId42" location="issuecomment-1686618217" ref="A43"/>
    <hyperlink r:id="rId43" location="issuecomment-1661736821" ref="A44"/>
    <hyperlink r:id="rId44" location="issuecomment-1665498143" ref="A45"/>
    <hyperlink r:id="rId45" location="issuecomment-1665506423" ref="A46"/>
    <hyperlink r:id="rId46" location="discussion_r1306204926" ref="A47"/>
    <hyperlink r:id="rId47" location="issuecomment-1697519138" ref="A48"/>
    <hyperlink r:id="rId48" location="discussion_r1314789164" ref="A49"/>
    <hyperlink r:id="rId49" location="discussion_r1332517627" ref="A50"/>
    <hyperlink r:id="rId50" location="discussion_r1336278028" ref="A51"/>
    <hyperlink r:id="rId51" location="issuecomment-1780379051" ref="A52"/>
    <hyperlink r:id="rId52" location="issuecomment-1793344331" ref="A53"/>
    <hyperlink r:id="rId53" location="issuecomment-1785720245" ref="A54"/>
    <hyperlink r:id="rId54" location="issuecomment-1785791090" ref="A55"/>
    <hyperlink r:id="rId55" location="issuecomment-1781507882" ref="A56"/>
    <hyperlink r:id="rId56" location="discussion_r1365062177" ref="A57"/>
    <hyperlink r:id="rId57" location="issuecomment-1752448257" ref="A58"/>
    <hyperlink r:id="rId58" location="issuecomment-1807527354" ref="A59"/>
    <hyperlink r:id="rId59" location="issuecomment-1809757221" ref="A60"/>
    <hyperlink r:id="rId60" location="issuecomment-1801905875" ref="A61"/>
    <hyperlink r:id="rId61" location="issuecomment-1828368632" ref="A62"/>
    <hyperlink r:id="rId62" location="issuecomment-1793218502" ref="A63"/>
    <hyperlink r:id="rId63" location="discussion_r1412686754" ref="A64"/>
    <hyperlink r:id="rId64" location="discussion_r1414961306" ref="A65"/>
    <hyperlink r:id="rId65" location="discussion_r1417022793" ref="A66"/>
    <hyperlink r:id="rId66" location="issuecomment-1948839059" ref="A67"/>
    <hyperlink r:id="rId67" location="issuecomment-1910187080" ref="A68"/>
    <hyperlink r:id="rId68" location="issuecomment-1910451341" ref="A69"/>
    <hyperlink r:id="rId69" location="issuecomment-1900904418" ref="A70"/>
    <hyperlink r:id="rId70" location="issuecomment-1901148987" ref="A71"/>
    <hyperlink r:id="rId71" location="issuecomment-1901569192" ref="A72"/>
    <hyperlink r:id="rId72" location="issuecomment-1902645890" ref="A73"/>
    <hyperlink r:id="rId73" location="issuecomment-1899349398" ref="A74"/>
    <hyperlink r:id="rId74" location="issuecomment-1886360767" ref="A75"/>
    <hyperlink r:id="rId75" location="issuecomment-1887960719" ref="A76"/>
    <hyperlink r:id="rId76" location="discussion_r1450221819" ref="A77"/>
    <hyperlink r:id="rId77" location="issuecomment-1885822780" ref="A78"/>
    <hyperlink r:id="rId78" location="discussion_r1443379463" ref="A79"/>
    <hyperlink r:id="rId79" location="discussion_r1473516211" ref="A80"/>
    <hyperlink r:id="rId80" location="issuecomment-1959829217" ref="A81"/>
    <hyperlink r:id="rId81" location="discussion_r1501899861" ref="A82"/>
    <hyperlink r:id="rId82" location="discussion_r1517923030" ref="A83"/>
    <hyperlink r:id="rId83" location="issuecomment-1955720555" ref="A84"/>
    <hyperlink r:id="rId84" location="discussion_r1487082121" ref="A85"/>
    <hyperlink r:id="rId85" location="discussion_r1507440482" ref="A86"/>
    <hyperlink r:id="rId86" location="issuecomment-2025318864" ref="A87"/>
    <hyperlink r:id="rId87" location="issuecomment-2024845557" ref="A88"/>
    <hyperlink r:id="rId88" location="issuecomment-2014162418" ref="A89"/>
    <hyperlink r:id="rId89" location="issuecomment-1980864682" ref="A90"/>
    <hyperlink r:id="rId90" location="issuecomment-1999698330" ref="A91"/>
    <hyperlink r:id="rId91" location="issuecomment-2034063870" ref="A92"/>
    <hyperlink r:id="rId92" location="discussion_r1530909058" ref="A93"/>
    <hyperlink r:id="rId93" location="issuecomment-1999943078" ref="A94"/>
    <hyperlink r:id="rId94" location="issuecomment-2017657371" ref="A95"/>
    <hyperlink r:id="rId95" location="issuecomment-2061398319" ref="A96"/>
    <hyperlink r:id="rId96" location="issuecomment-2035787922" ref="A97"/>
    <hyperlink r:id="rId97" location="issuecomment-2045255946" ref="A98"/>
    <hyperlink r:id="rId98" location="issuecomment-2072113477" ref="A99"/>
    <hyperlink r:id="rId99" location="issuecomment-2063787042" ref="A100"/>
    <hyperlink r:id="rId100" location="issuecomment-2071595653" ref="A101"/>
    <hyperlink r:id="rId101" location="discussion_r1587350621" ref="A102"/>
    <hyperlink r:id="rId102" location="issuecomment-2155886151" ref="A103"/>
    <hyperlink r:id="rId103" location="issuecomment-2117027142" ref="A104"/>
    <hyperlink r:id="rId104" location="issuecomment-2117397544" ref="A105"/>
    <hyperlink r:id="rId105" location="issuecomment-2153175265" ref="A106"/>
    <hyperlink r:id="rId106" location="issuecomment-2156025254" ref="A107"/>
    <hyperlink r:id="rId107" location="discussion_r1608892185" ref="A108"/>
    <hyperlink r:id="rId108" location="issuecomment-2088165855" ref="A109"/>
    <hyperlink r:id="rId109" location="issuecomment-2200855111" ref="A110"/>
    <hyperlink r:id="rId110" location="discussion_r1633407705" ref="A111"/>
    <hyperlink r:id="rId111" location="discussion_r1636377158" ref="A112"/>
    <hyperlink r:id="rId112" location="discussion_r1664512005" ref="A113"/>
    <hyperlink r:id="rId113" location="issuecomment-2173528937" ref="A114"/>
    <hyperlink r:id="rId114" location="discussion_r1644509089" ref="A115"/>
    <hyperlink r:id="rId115" location="issuecomment-2260800234" ref="A116"/>
    <hyperlink r:id="rId116" location="issuecomment-2264155036" ref="A117"/>
    <hyperlink r:id="rId117" location="issuecomment-2243019123" ref="A118"/>
    <hyperlink r:id="rId118" location="issuecomment-2240820847" ref="A119"/>
    <hyperlink r:id="rId119" location="discussion_r1700879609" ref="A120"/>
    <hyperlink r:id="rId120" location="discussion_r1722395207" ref="A121"/>
    <hyperlink r:id="rId121" location="issuecomment-2223578650" ref="A122"/>
    <hyperlink r:id="rId122" location="issuecomment-2351227427" ref="A123"/>
    <hyperlink r:id="rId123" location="discussion_r1739214016" ref="A124"/>
    <hyperlink r:id="rId124" location="issuecomment-2298195864" ref="A125"/>
    <hyperlink r:id="rId125" location="issuecomment-2289243857" ref="A126"/>
    <hyperlink r:id="rId126" location="discussion_r1703897845" ref="A127"/>
    <hyperlink r:id="rId127" location="discussion_r1796528450" ref="A128"/>
    <hyperlink r:id="rId128" location="issuecomment-2318997943" ref="A129"/>
    <hyperlink r:id="rId129" location="issuecomment-2296393650" ref="A130"/>
    <hyperlink r:id="rId130" location="discussion_r1735211623" ref="A131"/>
    <hyperlink r:id="rId131" location="issuecomment-2269215873" ref="A132"/>
    <hyperlink r:id="rId132" location="issuecomment-2379969401" ref="A133"/>
    <hyperlink r:id="rId133" location="issuecomment-2380293932" ref="A134"/>
    <hyperlink r:id="rId134" location="issuecomment-2359660979" ref="A135"/>
    <hyperlink r:id="rId135" location="issuecomment-2377384077" ref="A136"/>
    <hyperlink r:id="rId136" location="issuecomment-2333447134" ref="A137"/>
    <hyperlink r:id="rId137" location="issuecomment-2341588367" ref="A138"/>
    <hyperlink r:id="rId138" location="issuecomment-2362192856" ref="A139"/>
    <hyperlink r:id="rId139" location="issuecomment-2331351518" ref="A140"/>
    <hyperlink r:id="rId140" location="issuecomment-2331639363" ref="A141"/>
    <hyperlink r:id="rId141" location="issuecomment-2445457916" ref="A142"/>
    <hyperlink r:id="rId142" location="discussion_r1819880028" ref="A143"/>
    <hyperlink r:id="rId143" location="issuecomment-2408543634" ref="A144"/>
    <hyperlink r:id="rId144" location="issuecomment-2469782864" ref="A145"/>
    <hyperlink r:id="rId145" location="discussion_r1856809685" ref="A146"/>
    <hyperlink r:id="rId146" location="discussion_r1851061100" ref="A147"/>
    <hyperlink r:id="rId147" location="discussion_r1906988397" ref="A148"/>
    <hyperlink r:id="rId148" location="discussion_r1837312269" ref="A149"/>
    <hyperlink r:id="rId149" location="discussion_r1850770100" ref="A150"/>
    <hyperlink r:id="rId150" location="issuecomment-2541135317" ref="A151"/>
    <hyperlink r:id="rId151" location="issuecomment-2541213731" ref="A152"/>
    <hyperlink r:id="rId152" location="issuecomment-2624532383" ref="A153"/>
    <hyperlink r:id="rId153" location="issuecomment-2663810694" ref="A154"/>
    <hyperlink r:id="rId154" location="issuecomment-2597614481" ref="A155"/>
    <hyperlink r:id="rId155" location="discussion_r1923604952" ref="A156"/>
    <hyperlink r:id="rId156" location="discussion_r1905911491" ref="A157"/>
    <hyperlink r:id="rId157" location="discussion_r1935940259" ref="A158"/>
    <hyperlink r:id="rId158" location="issuecomment-2670908811" ref="A159"/>
    <hyperlink r:id="rId159" location="issuecomment-2668874799" ref="A160"/>
    <hyperlink r:id="rId160" location="discussion_r545695302" ref="A161"/>
    <hyperlink r:id="rId161" location="discussion_r543497937" ref="A162"/>
    <hyperlink r:id="rId162" location="discussion_r567018223" ref="A163"/>
    <hyperlink r:id="rId163" location="issuecomment-765626800" ref="A164"/>
    <hyperlink r:id="rId164" location="issuecomment-756679378" ref="A165"/>
    <hyperlink r:id="rId165" location="issuecomment-756680553" ref="A166"/>
    <hyperlink r:id="rId166" location="discussion_r559645850" ref="A167"/>
    <hyperlink r:id="rId167" location="issuecomment-779549912" ref="A168"/>
    <hyperlink r:id="rId168" location="issuecomment-779550856" ref="A169"/>
    <hyperlink r:id="rId169" location="issuecomment-797531035" ref="A170"/>
    <hyperlink r:id="rId170" location="issuecomment-801625181" ref="A171"/>
    <hyperlink r:id="rId171" location="issuecomment-801091000" ref="A172"/>
    <hyperlink r:id="rId172" location="issuecomment-801105402" ref="A173"/>
    <hyperlink r:id="rId173" location="issuecomment-793654227" ref="A174"/>
    <hyperlink r:id="rId174" location="issuecomment-837020051" ref="A175"/>
    <hyperlink r:id="rId175" location="discussion_r637023560" ref="A176"/>
    <hyperlink r:id="rId176" location="issuecomment-856753293" ref="A177"/>
    <hyperlink r:id="rId177" location="issuecomment-848266671" ref="A178"/>
    <hyperlink r:id="rId178" location="issuecomment-837133410" ref="A179"/>
    <hyperlink r:id="rId179" location="issuecomment-835330799" ref="A180"/>
    <hyperlink r:id="rId180" location="issuecomment-832071725" ref="A181"/>
    <hyperlink r:id="rId181" location="issuecomment-984087504" ref="A182"/>
    <hyperlink r:id="rId182" location="issuecomment-985285721" ref="A183"/>
    <hyperlink r:id="rId183" location="issuecomment-863421123" ref="A184"/>
    <hyperlink r:id="rId184" location="issuecomment-888678243" ref="A185"/>
    <hyperlink r:id="rId185" location="issuecomment-884843049" ref="A186"/>
    <hyperlink r:id="rId186" location="discussion_r676438744" ref="A187"/>
    <hyperlink r:id="rId187" location="issuecomment-884723190" ref="A188"/>
    <hyperlink r:id="rId188" location="issuecomment-889533506" ref="A189"/>
    <hyperlink r:id="rId189" location="discussion_r679838147" ref="A190"/>
    <hyperlink r:id="rId190" location="issuecomment-878619570" ref="A191"/>
    <hyperlink r:id="rId191" location="issuecomment-883348633" ref="A192"/>
    <hyperlink r:id="rId192" location="issuecomment-874051052" ref="A193"/>
    <hyperlink r:id="rId193" location="issuecomment-900553213" ref="A194"/>
    <hyperlink r:id="rId194" location="issuecomment-910057384" ref="A195"/>
    <hyperlink r:id="rId195" location="issuecomment-913474266" ref="A196"/>
    <hyperlink r:id="rId196" location="issuecomment-892080725" ref="A197"/>
    <hyperlink r:id="rId197" location="issuecomment-892088511" ref="A198"/>
    <hyperlink r:id="rId198" location="issuecomment-904955772" ref="A199"/>
    <hyperlink r:id="rId199" location="issuecomment-899635644" ref="A200"/>
    <hyperlink r:id="rId200" location="issuecomment-900114068" ref="A201"/>
    <hyperlink r:id="rId201" location="issuecomment-901702021" ref="A202"/>
    <hyperlink r:id="rId202" location="issuecomment-901720443" ref="A203"/>
    <hyperlink r:id="rId203" location="issuecomment-906414490" ref="A204"/>
    <hyperlink r:id="rId204" location="discussion_r702913628" ref="A205"/>
    <hyperlink r:id="rId205" location="discussion_r702913729" ref="A206"/>
    <hyperlink r:id="rId206" location="issuecomment-924130437" ref="A207"/>
    <hyperlink r:id="rId207" location="issuecomment-924181155" ref="A208"/>
    <hyperlink r:id="rId208" location="issuecomment-932479529" ref="A209"/>
    <hyperlink r:id="rId209" location="issuecomment-920667290" ref="A210"/>
    <hyperlink r:id="rId210" location="discussion_r739843790" ref="A211"/>
    <hyperlink r:id="rId211" location="issuecomment-942076500" ref="A212"/>
    <hyperlink r:id="rId212" location="issuecomment-970242570" ref="A213"/>
    <hyperlink r:id="rId213" location="discussion_r779691202" ref="A214"/>
    <hyperlink r:id="rId214" location="issuecomment-970508235" ref="A215"/>
    <hyperlink r:id="rId215" location="issuecomment-971788502" ref="A216"/>
    <hyperlink r:id="rId216" location="issuecomment-976168691" ref="A217"/>
    <hyperlink r:id="rId217" location="discussion_r793138311" ref="A218"/>
    <hyperlink r:id="rId218" location="discussion_r769552260" ref="A219"/>
    <hyperlink r:id="rId219" location="issuecomment-1000705330" ref="A220"/>
    <hyperlink r:id="rId220" location="issuecomment-1000097664" ref="A221"/>
    <hyperlink r:id="rId221" location="issuecomment-1000107533" ref="A222"/>
    <hyperlink r:id="rId222" location="issuecomment-994836463" ref="A223"/>
    <hyperlink r:id="rId223" location="issuecomment-994966005" ref="A224"/>
    <hyperlink r:id="rId224" location="issuecomment-1009184755" ref="A225"/>
    <hyperlink r:id="rId225" location="discussion_r782253740" ref="A226"/>
    <hyperlink r:id="rId226" location="discussion_r765954024" ref="A227"/>
    <hyperlink r:id="rId227" location="issuecomment-1021693435" ref="A228"/>
    <hyperlink r:id="rId228" location="issuecomment-1004912593" ref="A229"/>
    <hyperlink r:id="rId229" location="issuecomment-1004920865" ref="A230"/>
    <hyperlink r:id="rId230" location="discussion_r784065168" ref="A231"/>
    <hyperlink r:id="rId231" location="discussion_r807925280" ref="A232"/>
    <hyperlink r:id="rId232" location="issuecomment-1026674714" ref="A233"/>
    <hyperlink r:id="rId233" location="discussion_r842892057" ref="A234"/>
    <hyperlink r:id="rId234" location="issuecomment-1075108673" ref="A235"/>
    <hyperlink r:id="rId235" location="discussion_r820811558" ref="A236"/>
    <hyperlink r:id="rId236" location="issuecomment-1066596746" ref="A237"/>
    <hyperlink r:id="rId237" location="discussion_r838791044" ref="A238"/>
    <hyperlink r:id="rId238" location="discussion_r857226722" ref="A239"/>
    <hyperlink r:id="rId239" location="discussion_r842299961" ref="A240"/>
    <hyperlink r:id="rId240" location="discussion_r877330203" ref="A241"/>
    <hyperlink r:id="rId241" location="discussion_r848878274" ref="A242"/>
    <hyperlink r:id="rId242" location="issuecomment-1142183578" ref="A243"/>
    <hyperlink r:id="rId243" location="issuecomment-1128036138" ref="A244"/>
    <hyperlink r:id="rId244" location="issuecomment-1128167602" ref="A245"/>
    <hyperlink r:id="rId245" location="issuecomment-1126159948" ref="A246"/>
    <hyperlink r:id="rId246" location="discussion_r870062272" ref="A247"/>
    <hyperlink r:id="rId247" location="issuecomment-1137141845" ref="A248"/>
    <hyperlink r:id="rId248" location="issuecomment-1128161665" ref="A249"/>
    <hyperlink r:id="rId249" location="issuecomment-1130487309" ref="A250"/>
    <hyperlink r:id="rId250" location="issuecomment-1144002961" ref="A251"/>
    <hyperlink r:id="rId251" location="issuecomment-1135152219" ref="A252"/>
    <hyperlink r:id="rId252" location="issuecomment-1125506624" ref="A253"/>
    <hyperlink r:id="rId253" location="issuecomment-1126018662" ref="A254"/>
    <hyperlink r:id="rId254" location="issuecomment-1127888784" ref="A255"/>
    <hyperlink r:id="rId255" location="issuecomment-1149608974" ref="A256"/>
    <hyperlink r:id="rId256" location="issuecomment-1152400891" ref="A257"/>
    <hyperlink r:id="rId257" location="discussion_r921977280" ref="A258"/>
    <hyperlink r:id="rId258" location="issuecomment-1185949928" ref="A259"/>
    <hyperlink r:id="rId259" location="issuecomment-1187325320" ref="A260"/>
    <hyperlink r:id="rId260" location="issuecomment-1147935372" ref="A261"/>
    <hyperlink r:id="rId261" location="discussion_r902025727" ref="A262"/>
    <hyperlink r:id="rId262" location="discussion_r889603761" ref="A263"/>
    <hyperlink r:id="rId263" location="issuecomment-1191480627" ref="A264"/>
    <hyperlink r:id="rId264" location="issuecomment-1191482467" ref="A265"/>
    <hyperlink r:id="rId265" location="issuecomment-1196792652" ref="A266"/>
    <hyperlink r:id="rId266" location="issuecomment-1184570444" ref="A267"/>
    <hyperlink r:id="rId267" location="issuecomment-1184585892" ref="A268"/>
    <hyperlink r:id="rId268" location="issuecomment-1194626810" ref="A269"/>
    <hyperlink r:id="rId269" location="issuecomment-1195475937" ref="A270"/>
    <hyperlink r:id="rId270" location="issuecomment-1192619108" ref="A271"/>
    <hyperlink r:id="rId271" location="issuecomment-1194310216" ref="A272"/>
    <hyperlink r:id="rId272" location="discussion_r949989262" ref="A273"/>
    <hyperlink r:id="rId273" location="issuecomment-1244930705" ref="A274"/>
    <hyperlink r:id="rId274" location="issuecomment-1224500795" ref="A275"/>
    <hyperlink r:id="rId275" location="issuecomment-1230715670" ref="A276"/>
    <hyperlink r:id="rId276" location="issuecomment-1209889538" ref="A277"/>
    <hyperlink r:id="rId277" location="issuecomment-1209892350" ref="A278"/>
    <hyperlink r:id="rId278" location="issuecomment-1228712092" ref="A279"/>
    <hyperlink r:id="rId279" location="issuecomment-1216415091" ref="A280"/>
    <hyperlink r:id="rId280" location="issuecomment-1215832526" ref="A281"/>
    <hyperlink r:id="rId281" location="issuecomment-1242158688" ref="A282"/>
    <hyperlink r:id="rId282" location="issuecomment-1248920649" ref="A283"/>
    <hyperlink r:id="rId283" location="discussion_r970362124" ref="A284"/>
    <hyperlink r:id="rId284" location="issuecomment-1241109917" ref="A285"/>
    <hyperlink r:id="rId285" location="issuecomment-1242259347" ref="A286"/>
    <hyperlink r:id="rId286" location="issuecomment-1269341227" ref="A287"/>
    <hyperlink r:id="rId287" location="discussion_r983726151" ref="A288"/>
    <hyperlink r:id="rId288" location="discussion_r983737173" ref="A289"/>
    <hyperlink r:id="rId289" location="issuecomment-1279388288" ref="A290"/>
    <hyperlink r:id="rId290" location="issuecomment-1279399748" ref="A291"/>
    <hyperlink r:id="rId291" location="issuecomment-1291473303" ref="A292"/>
    <hyperlink r:id="rId292" location="discussion_r1037213727" ref="A293"/>
    <hyperlink r:id="rId293" location="issuecomment-1286822344" ref="A294"/>
    <hyperlink r:id="rId294" location="issuecomment-1285849085" ref="A295"/>
    <hyperlink r:id="rId295" location="discussion_r1036121644" ref="A296"/>
    <hyperlink r:id="rId296" location="discussion_r1034190905" ref="A297"/>
    <hyperlink r:id="rId297" location="discussion_r1045712585" ref="A298"/>
    <hyperlink r:id="rId298" location="issuecomment-1326875286" ref="A299"/>
    <hyperlink r:id="rId299" location="discussion_r1034043175" ref="A300"/>
    <hyperlink r:id="rId300" location="discussion_r1034925705" ref="A301"/>
    <hyperlink r:id="rId301" location="discussion_r1016940226" ref="A302"/>
    <hyperlink r:id="rId302" location="issuecomment-1308808154" ref="A303"/>
    <hyperlink r:id="rId303" location="discussion_r1037122436" ref="A304"/>
    <hyperlink r:id="rId304" location="issuecomment-1339101503" ref="A305"/>
    <hyperlink r:id="rId305" location="issuecomment-1361050002" ref="A306"/>
    <hyperlink r:id="rId306" location="discussion_r1050858002" ref="A307"/>
    <hyperlink r:id="rId307" location="issuecomment-1357892871" ref="A308"/>
    <hyperlink r:id="rId308" location="issuecomment-1358114979" ref="A309"/>
    <hyperlink r:id="rId309" location="issuecomment-2670908811" ref="A310"/>
    <hyperlink r:id="rId310" location="discussion_r1974730734" ref="A311"/>
    <hyperlink r:id="rId311" location="issuecomment-2668874799" ref="A312"/>
    <hyperlink r:id="rId312" location="issuecomment-2738116384" ref="A313"/>
    <hyperlink r:id="rId313" location="issuecomment-2750462330" ref="A314"/>
    <hyperlink r:id="rId314" location="issuecomment-2730449028" ref="A315"/>
    <hyperlink r:id="rId315" location="discussion_r2006483914" ref="A316"/>
    <hyperlink r:id="rId316" location="discussion_r2008301713" ref="A317"/>
    <hyperlink r:id="rId317" location="discussion_r1977424201" ref="A318"/>
    <hyperlink r:id="rId318" location="issuecomment-2703653274" ref="A319"/>
    <hyperlink r:id="rId319" location="issuecomment-2693948041" ref="A320"/>
    <hyperlink r:id="rId320" location="issuecomment-2795597092" ref="A321"/>
    <hyperlink r:id="rId321" location="discussion_r2049478574" ref="A322"/>
    <hyperlink r:id="rId322" location="issuecomment-2888992525" ref="A323"/>
    <hyperlink r:id="rId323" location="issuecomment-2889053424" ref="A324"/>
    <hyperlink r:id="rId324" location="issuecomment-2889218109" ref="A325"/>
    <hyperlink r:id="rId325" location="issuecomment-2884484097" ref="A326"/>
    <hyperlink r:id="rId326" location="discussion_r2096028845" ref="A327"/>
    <hyperlink r:id="rId327" location="discussion_r2098766914" ref="A328"/>
    <hyperlink r:id="rId328" location="discussion_r2103548556" ref="A329"/>
    <hyperlink r:id="rId329" location="issuecomment-2887722760" ref="A330"/>
    <hyperlink r:id="rId330" location="issuecomment-3004356312" ref="A331"/>
    <hyperlink r:id="rId331" location="discussion_r2150341785" ref="A332"/>
    <hyperlink r:id="rId332" location="discussion_r2157012512" ref="A333"/>
    <hyperlink r:id="rId333" location="issuecomment-3134461611" ref="A334"/>
    <hyperlink r:id="rId334" location="issuecomment-3050388713" ref="A335"/>
    <hyperlink r:id="rId335" location="discussion_r2226684249" ref="A336"/>
    <hyperlink r:id="rId336" location="issuecomment-3037435884" ref="A337"/>
    <hyperlink r:id="rId337" location="issuecomment-3104643517" ref="A338"/>
    <hyperlink r:id="rId338" location="discussion_r2294739847" ref="A339"/>
    <hyperlink r:id="rId339" location="discussion_r2279534507" ref="A340"/>
    <hyperlink r:id="rId340" location="discussion_r2380229424" ref="A341"/>
    <hyperlink r:id="rId341" location="issuecomment-3314117225" ref="A342"/>
    <hyperlink r:id="rId342" location="issuecomment-3274242189" ref="A343"/>
    <hyperlink r:id="rId343" location="discussion_r2349918819" ref="A344"/>
    <hyperlink r:id="rId344" location="discussion_r2353846205" ref="A345"/>
  </hyperlinks>
  <drawing r:id="rId34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5"/>
    <col customWidth="1" min="2" max="2" width="33.5"/>
    <col customWidth="1" min="3" max="3" width="76.88"/>
  </cols>
  <sheetData>
    <row r="1">
      <c r="A1" s="2" t="s">
        <v>415</v>
      </c>
      <c r="B1" s="2"/>
      <c r="C1" s="2" t="s">
        <v>414</v>
      </c>
      <c r="D1" s="2" t="s">
        <v>416</v>
      </c>
    </row>
    <row r="2">
      <c r="A2" s="12" t="s">
        <v>191</v>
      </c>
      <c r="B2" s="2" t="s">
        <v>20</v>
      </c>
      <c r="C2" s="7"/>
      <c r="D2" s="2" t="s">
        <v>417</v>
      </c>
    </row>
    <row r="3">
      <c r="A3" s="12" t="s">
        <v>345</v>
      </c>
      <c r="B3" s="2" t="s">
        <v>53</v>
      </c>
      <c r="C3" s="7"/>
      <c r="D3" s="2" t="s">
        <v>418</v>
      </c>
    </row>
    <row r="4">
      <c r="A4" s="12" t="s">
        <v>192</v>
      </c>
      <c r="B4" s="2" t="s">
        <v>14</v>
      </c>
      <c r="C4" s="7"/>
      <c r="D4" s="2" t="s">
        <v>419</v>
      </c>
    </row>
    <row r="5">
      <c r="A5" s="12" t="s">
        <v>346</v>
      </c>
      <c r="B5" s="2" t="s">
        <v>5</v>
      </c>
      <c r="C5" s="7"/>
      <c r="D5" s="2" t="s">
        <v>420</v>
      </c>
    </row>
    <row r="6">
      <c r="A6" s="12" t="s">
        <v>347</v>
      </c>
      <c r="B6" s="2" t="s">
        <v>5</v>
      </c>
      <c r="C6" s="7"/>
      <c r="D6" s="2" t="s">
        <v>421</v>
      </c>
    </row>
    <row r="7">
      <c r="A7" s="11" t="s">
        <v>348</v>
      </c>
      <c r="B7" s="2"/>
      <c r="C7" s="2" t="s">
        <v>51</v>
      </c>
    </row>
    <row r="8">
      <c r="A8" s="12" t="s">
        <v>349</v>
      </c>
      <c r="B8" s="2" t="s">
        <v>20</v>
      </c>
      <c r="C8" s="7"/>
      <c r="D8" s="2" t="s">
        <v>422</v>
      </c>
    </row>
    <row r="9">
      <c r="A9" s="11" t="s">
        <v>350</v>
      </c>
      <c r="B9" s="2" t="s">
        <v>20</v>
      </c>
      <c r="C9" s="7"/>
      <c r="D9" s="2" t="s">
        <v>423</v>
      </c>
    </row>
    <row r="10">
      <c r="A10" s="11" t="s">
        <v>351</v>
      </c>
      <c r="B10" s="2"/>
      <c r="C10" s="2" t="s">
        <v>75</v>
      </c>
    </row>
    <row r="11">
      <c r="A11" s="12" t="s">
        <v>352</v>
      </c>
      <c r="B11" s="2"/>
      <c r="C11" s="2" t="s">
        <v>130</v>
      </c>
      <c r="D11" s="2" t="s">
        <v>424</v>
      </c>
    </row>
    <row r="12">
      <c r="A12" s="12" t="s">
        <v>353</v>
      </c>
      <c r="B12" s="2" t="s">
        <v>134</v>
      </c>
      <c r="C12" s="7"/>
    </row>
    <row r="13">
      <c r="A13" s="12" t="s">
        <v>354</v>
      </c>
      <c r="B13" s="2" t="s">
        <v>20</v>
      </c>
      <c r="C13" s="7"/>
      <c r="D13" s="2" t="s">
        <v>425</v>
      </c>
    </row>
    <row r="14">
      <c r="A14" s="11" t="s">
        <v>355</v>
      </c>
      <c r="B14" s="2" t="s">
        <v>45</v>
      </c>
      <c r="C14" s="2" t="s">
        <v>148</v>
      </c>
    </row>
    <row r="15">
      <c r="A15" s="12" t="s">
        <v>356</v>
      </c>
      <c r="B15" s="2" t="s">
        <v>14</v>
      </c>
      <c r="C15" s="7"/>
    </row>
    <row r="16">
      <c r="A16" s="12" t="s">
        <v>357</v>
      </c>
      <c r="B16" s="2" t="s">
        <v>5</v>
      </c>
      <c r="C16" s="7"/>
      <c r="D16" s="2" t="s">
        <v>426</v>
      </c>
    </row>
    <row r="17">
      <c r="A17" s="11" t="s">
        <v>358</v>
      </c>
      <c r="B17" s="2" t="s">
        <v>14</v>
      </c>
      <c r="C17" s="7"/>
      <c r="D17" s="2" t="s">
        <v>426</v>
      </c>
    </row>
    <row r="18">
      <c r="A18" s="11" t="s">
        <v>359</v>
      </c>
      <c r="B18" s="2" t="s">
        <v>14</v>
      </c>
      <c r="C18" s="7"/>
    </row>
    <row r="19">
      <c r="A19" s="12" t="s">
        <v>360</v>
      </c>
      <c r="B19" s="2" t="s">
        <v>20</v>
      </c>
      <c r="C19" s="7"/>
    </row>
    <row r="20">
      <c r="A20" s="12" t="s">
        <v>361</v>
      </c>
      <c r="B20" s="2" t="s">
        <v>20</v>
      </c>
      <c r="C20" s="7"/>
      <c r="D20" s="2" t="s">
        <v>427</v>
      </c>
    </row>
    <row r="21">
      <c r="A21" s="11" t="s">
        <v>362</v>
      </c>
      <c r="B21" s="2" t="s">
        <v>20</v>
      </c>
      <c r="C21" s="7"/>
      <c r="D21" s="2" t="s">
        <v>428</v>
      </c>
    </row>
    <row r="22">
      <c r="A22" s="11" t="s">
        <v>363</v>
      </c>
      <c r="B22" s="2" t="s">
        <v>20</v>
      </c>
      <c r="C22" s="7"/>
      <c r="D22" s="2" t="s">
        <v>429</v>
      </c>
    </row>
    <row r="23">
      <c r="A23" s="11" t="s">
        <v>364</v>
      </c>
      <c r="B23" s="2" t="s">
        <v>91</v>
      </c>
      <c r="C23" s="7"/>
      <c r="D23" s="2" t="s">
        <v>430</v>
      </c>
    </row>
    <row r="24">
      <c r="A24" s="11" t="s">
        <v>365</v>
      </c>
      <c r="B24" s="2" t="s">
        <v>20</v>
      </c>
      <c r="C24" s="2" t="s">
        <v>179</v>
      </c>
    </row>
    <row r="25">
      <c r="A25" s="12" t="s">
        <v>366</v>
      </c>
      <c r="B25" s="2" t="s">
        <v>31</v>
      </c>
      <c r="C25" s="7"/>
      <c r="D25" s="2" t="s">
        <v>431</v>
      </c>
    </row>
    <row r="26">
      <c r="A26" s="12" t="s">
        <v>367</v>
      </c>
      <c r="B26" s="2" t="s">
        <v>14</v>
      </c>
      <c r="C26" s="7"/>
    </row>
    <row r="27">
      <c r="A27" s="12" t="s">
        <v>368</v>
      </c>
      <c r="B27" s="2" t="s">
        <v>53</v>
      </c>
      <c r="C27" s="7"/>
      <c r="D27" s="2" t="s">
        <v>432</v>
      </c>
    </row>
    <row r="28">
      <c r="A28" s="11" t="s">
        <v>369</v>
      </c>
      <c r="B28" s="2" t="s">
        <v>20</v>
      </c>
      <c r="C28" s="7"/>
      <c r="D28" s="2" t="s">
        <v>433</v>
      </c>
    </row>
    <row r="29">
      <c r="A29" s="11" t="s">
        <v>370</v>
      </c>
      <c r="B29" s="2" t="s">
        <v>27</v>
      </c>
      <c r="C29" s="2" t="s">
        <v>14</v>
      </c>
      <c r="D29" s="2" t="s">
        <v>434</v>
      </c>
    </row>
    <row r="30">
      <c r="A30" s="11" t="s">
        <v>371</v>
      </c>
      <c r="B30" s="2" t="s">
        <v>14</v>
      </c>
      <c r="C30" s="7"/>
      <c r="D30" s="2" t="s">
        <v>435</v>
      </c>
    </row>
    <row r="31">
      <c r="A31" s="11" t="s">
        <v>372</v>
      </c>
      <c r="B31" s="2" t="s">
        <v>45</v>
      </c>
      <c r="C31" s="7"/>
    </row>
    <row r="32">
      <c r="A32" s="12" t="s">
        <v>373</v>
      </c>
      <c r="B32" s="2" t="s">
        <v>134</v>
      </c>
      <c r="C32" s="7"/>
    </row>
    <row r="33">
      <c r="A33" s="12" t="s">
        <v>374</v>
      </c>
      <c r="B33" s="2" t="s">
        <v>91</v>
      </c>
      <c r="C33" s="7"/>
    </row>
    <row r="34">
      <c r="A34" s="12" t="s">
        <v>375</v>
      </c>
      <c r="B34" s="2" t="s">
        <v>14</v>
      </c>
      <c r="C34" s="7"/>
    </row>
    <row r="35">
      <c r="A35" s="12" t="s">
        <v>376</v>
      </c>
      <c r="B35" s="2" t="s">
        <v>5</v>
      </c>
      <c r="C35" s="7"/>
    </row>
    <row r="36">
      <c r="A36" s="12" t="s">
        <v>377</v>
      </c>
      <c r="B36" s="2" t="s">
        <v>20</v>
      </c>
      <c r="C36" s="7"/>
      <c r="D36" s="2" t="s">
        <v>436</v>
      </c>
    </row>
    <row r="37">
      <c r="A37" s="11" t="s">
        <v>378</v>
      </c>
      <c r="B37" s="2" t="s">
        <v>20</v>
      </c>
      <c r="C37" s="7"/>
      <c r="D37" s="2" t="s">
        <v>437</v>
      </c>
    </row>
  </sheetData>
  <dataValidations>
    <dataValidation type="list" allowBlank="1" showErrorMessage="1" sqref="B2:C37">
      <formula1>"Layout Shifted,Layout Changed,Size of Page/Header Changed,Specific Items are Mis-aligned,Box Size Changed,New Contents,Contents Disappeared,Box Shape Changed,Box Disappeared,Border Disappeared,Wrong Border Thickness,New Buttons,New Border Appeared,Box Col"&amp;"or Changed,Text Color Changed,Border Color Changed,Text Disappeared,Contents of Text Changed,Text Size Changed,New Text,Undefined/Wrong State is Shown,Default State is Changed,No or Few Visual Diffrences Detected,Fragile Snapshot,Focus Does Not Work,Flack"&amp;"y Test,No Changes,Image Adjusted,Image Replaced,None,OutOfScope: Duplicates,OutOfScope: Cannot access,OutOfScope: Chromatic Error,OutOfScope: New Story,OutOfScope: Not VRT Discussion"</formula1>
    </dataValidation>
  </dataValidations>
  <hyperlinks>
    <hyperlink r:id="rId1" location="issuecomment-2670908811" ref="A2"/>
    <hyperlink r:id="rId2" location="discussion_r1974730734" ref="A3"/>
    <hyperlink r:id="rId3" location="issuecomment-2668874799" ref="A4"/>
    <hyperlink r:id="rId4" location="issuecomment-2738116384" ref="A5"/>
    <hyperlink r:id="rId5" location="issuecomment-2750462330" ref="A6"/>
    <hyperlink r:id="rId6" location="issuecomment-2730449028" ref="A7"/>
    <hyperlink r:id="rId7" location="discussion_r2006483914" ref="A8"/>
    <hyperlink r:id="rId8" location="discussion_r2008301713" ref="A9"/>
    <hyperlink r:id="rId9" location="discussion_r1977424201" ref="A10"/>
    <hyperlink r:id="rId10" location="issuecomment-2703653274" ref="A11"/>
    <hyperlink r:id="rId11" location="issuecomment-2693948041" ref="A12"/>
    <hyperlink r:id="rId12" location="issuecomment-2795597092" ref="A13"/>
    <hyperlink r:id="rId13" location="discussion_r2049478574" ref="A14"/>
    <hyperlink r:id="rId14" location="issuecomment-2888992525" ref="A15"/>
    <hyperlink r:id="rId15" location="issuecomment-2889053424" ref="A16"/>
    <hyperlink r:id="rId16" location="issuecomment-2889218109" ref="A17"/>
    <hyperlink r:id="rId17" location="issuecomment-2884484097" ref="A18"/>
    <hyperlink r:id="rId18" location="discussion_r2096028845" ref="A19"/>
    <hyperlink r:id="rId19" location="discussion_r2098766914" ref="A20"/>
    <hyperlink r:id="rId20" location="discussion_r2103548556" ref="A21"/>
    <hyperlink r:id="rId21" location="issuecomment-2887722760" ref="A22"/>
    <hyperlink r:id="rId22" location="issuecomment-3004356312" ref="A23"/>
    <hyperlink r:id="rId23" location="discussion_r2150341785" ref="A24"/>
    <hyperlink r:id="rId24" location="discussion_r2157012512" ref="A25"/>
    <hyperlink r:id="rId25" location="issuecomment-3134461611" ref="A26"/>
    <hyperlink r:id="rId26" location="issuecomment-3050388713" ref="A27"/>
    <hyperlink r:id="rId27" location="discussion_r2226684249" ref="A28"/>
    <hyperlink r:id="rId28" location="issuecomment-3037435884" ref="A29"/>
    <hyperlink r:id="rId29" location="issuecomment-3104643517" ref="A30"/>
    <hyperlink r:id="rId30" location="discussion_r2294739847" ref="A31"/>
    <hyperlink r:id="rId31" location="discussion_r2279534507" ref="A32"/>
    <hyperlink r:id="rId32" location="discussion_r2380229424" ref="A33"/>
    <hyperlink r:id="rId33" location="issuecomment-3314117225" ref="A34"/>
    <hyperlink r:id="rId34" location="issuecomment-3274242189" ref="A35"/>
    <hyperlink r:id="rId35" location="discussion_r2349918819" ref="A36"/>
    <hyperlink r:id="rId36" location="discussion_r2353846205" ref="A37"/>
  </hyperlinks>
  <drawing r:id="rId3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5"/>
    <col customWidth="1" min="2" max="2" width="24.88"/>
    <col customWidth="1" min="3" max="3" width="76.88"/>
    <col customWidth="1" min="4" max="4" width="32.0"/>
  </cols>
  <sheetData>
    <row r="1">
      <c r="A1" s="2" t="s">
        <v>415</v>
      </c>
      <c r="B1" s="2" t="s">
        <v>414</v>
      </c>
      <c r="C1" s="2" t="s">
        <v>414</v>
      </c>
      <c r="D1" s="2" t="s">
        <v>416</v>
      </c>
    </row>
    <row r="2">
      <c r="A2" s="11" t="s">
        <v>191</v>
      </c>
      <c r="B2" s="2" t="s">
        <v>20</v>
      </c>
      <c r="C2" s="2"/>
    </row>
    <row r="3">
      <c r="A3" s="12" t="s">
        <v>345</v>
      </c>
      <c r="B3" s="2" t="s">
        <v>53</v>
      </c>
      <c r="C3" s="2"/>
    </row>
    <row r="4">
      <c r="A4" s="12" t="s">
        <v>192</v>
      </c>
      <c r="B4" s="2" t="s">
        <v>14</v>
      </c>
      <c r="C4" s="2"/>
    </row>
    <row r="5">
      <c r="A5" s="12" t="s">
        <v>346</v>
      </c>
      <c r="B5" s="2" t="s">
        <v>5</v>
      </c>
      <c r="C5" s="2"/>
    </row>
    <row r="6">
      <c r="A6" s="12" t="s">
        <v>347</v>
      </c>
      <c r="B6" s="2" t="s">
        <v>5</v>
      </c>
      <c r="C6" s="2"/>
    </row>
    <row r="7">
      <c r="A7" s="11" t="s">
        <v>348</v>
      </c>
      <c r="B7" s="2" t="s">
        <v>179</v>
      </c>
      <c r="C7" s="2"/>
    </row>
    <row r="8">
      <c r="A8" s="12" t="s">
        <v>349</v>
      </c>
      <c r="B8" s="2" t="s">
        <v>20</v>
      </c>
      <c r="C8" s="2"/>
    </row>
    <row r="9">
      <c r="A9" s="11" t="s">
        <v>350</v>
      </c>
      <c r="B9" s="2" t="s">
        <v>20</v>
      </c>
      <c r="C9" s="2"/>
    </row>
    <row r="10">
      <c r="A10" s="12" t="s">
        <v>351</v>
      </c>
      <c r="B10" s="2" t="s">
        <v>75</v>
      </c>
      <c r="C10" s="2"/>
    </row>
    <row r="11">
      <c r="A11" s="12" t="s">
        <v>352</v>
      </c>
      <c r="B11" s="2" t="s">
        <v>23</v>
      </c>
      <c r="C11" s="2"/>
    </row>
    <row r="12">
      <c r="A12" s="12" t="s">
        <v>353</v>
      </c>
      <c r="B12" s="2" t="s">
        <v>134</v>
      </c>
      <c r="C12" s="2"/>
    </row>
    <row r="13">
      <c r="A13" s="12" t="s">
        <v>354</v>
      </c>
      <c r="B13" s="2" t="s">
        <v>20</v>
      </c>
      <c r="C13" s="2"/>
    </row>
    <row r="14">
      <c r="A14" s="11" t="s">
        <v>355</v>
      </c>
      <c r="B14" s="2" t="s">
        <v>27</v>
      </c>
      <c r="C14" s="2" t="s">
        <v>45</v>
      </c>
    </row>
    <row r="15">
      <c r="A15" s="12" t="s">
        <v>356</v>
      </c>
      <c r="B15" s="2" t="s">
        <v>14</v>
      </c>
      <c r="C15" s="2"/>
    </row>
    <row r="16">
      <c r="A16" s="12" t="s">
        <v>357</v>
      </c>
      <c r="B16" s="2" t="s">
        <v>5</v>
      </c>
      <c r="C16" s="2"/>
    </row>
    <row r="17">
      <c r="A17" s="11" t="s">
        <v>358</v>
      </c>
      <c r="B17" s="2" t="s">
        <v>14</v>
      </c>
      <c r="C17" s="2"/>
    </row>
    <row r="18">
      <c r="A18" s="11" t="s">
        <v>359</v>
      </c>
      <c r="B18" s="2" t="s">
        <v>14</v>
      </c>
      <c r="C18" s="2"/>
    </row>
    <row r="19">
      <c r="A19" s="12" t="s">
        <v>360</v>
      </c>
      <c r="B19" s="2" t="s">
        <v>20</v>
      </c>
      <c r="C19" s="2"/>
    </row>
    <row r="20">
      <c r="A20" s="12" t="s">
        <v>361</v>
      </c>
      <c r="B20" s="2" t="s">
        <v>20</v>
      </c>
      <c r="C20" s="2"/>
    </row>
    <row r="21">
      <c r="A21" s="11" t="s">
        <v>362</v>
      </c>
      <c r="B21" s="2" t="s">
        <v>20</v>
      </c>
      <c r="C21" s="2"/>
    </row>
    <row r="22">
      <c r="A22" s="11" t="s">
        <v>363</v>
      </c>
      <c r="B22" s="2" t="s">
        <v>20</v>
      </c>
      <c r="C22" s="2"/>
    </row>
    <row r="23">
      <c r="A23" s="11" t="s">
        <v>364</v>
      </c>
      <c r="B23" s="2" t="s">
        <v>26</v>
      </c>
      <c r="C23" s="2"/>
    </row>
    <row r="24">
      <c r="A24" s="11" t="s">
        <v>365</v>
      </c>
      <c r="B24" s="2" t="s">
        <v>20</v>
      </c>
      <c r="C24" s="2"/>
    </row>
    <row r="25">
      <c r="A25" s="12" t="s">
        <v>366</v>
      </c>
      <c r="B25" s="2" t="s">
        <v>31</v>
      </c>
      <c r="C25" s="2"/>
      <c r="D25" s="2" t="s">
        <v>438</v>
      </c>
    </row>
    <row r="26">
      <c r="A26" s="12" t="s">
        <v>367</v>
      </c>
      <c r="B26" s="2" t="s">
        <v>14</v>
      </c>
      <c r="C26" s="2"/>
    </row>
    <row r="27">
      <c r="A27" s="12" t="s">
        <v>368</v>
      </c>
      <c r="B27" s="2" t="s">
        <v>53</v>
      </c>
      <c r="C27" s="2"/>
    </row>
    <row r="28">
      <c r="A28" s="11" t="s">
        <v>369</v>
      </c>
      <c r="B28" s="2" t="s">
        <v>20</v>
      </c>
      <c r="C28" s="2"/>
    </row>
    <row r="29">
      <c r="A29" s="11" t="s">
        <v>370</v>
      </c>
      <c r="B29" s="2" t="s">
        <v>14</v>
      </c>
      <c r="C29" s="2" t="s">
        <v>27</v>
      </c>
    </row>
    <row r="30">
      <c r="A30" s="11" t="s">
        <v>371</v>
      </c>
      <c r="B30" s="2" t="s">
        <v>14</v>
      </c>
      <c r="C30" s="2"/>
    </row>
    <row r="31">
      <c r="A31" s="11" t="s">
        <v>372</v>
      </c>
      <c r="B31" s="2" t="s">
        <v>45</v>
      </c>
      <c r="C31" s="2"/>
    </row>
    <row r="32">
      <c r="A32" s="12" t="s">
        <v>373</v>
      </c>
      <c r="B32" s="2" t="s">
        <v>134</v>
      </c>
      <c r="C32" s="2"/>
    </row>
    <row r="33">
      <c r="A33" s="12" t="s">
        <v>374</v>
      </c>
      <c r="B33" s="2" t="s">
        <v>91</v>
      </c>
      <c r="C33" s="2"/>
    </row>
    <row r="34">
      <c r="A34" s="12" t="s">
        <v>375</v>
      </c>
      <c r="B34" s="2" t="s">
        <v>27</v>
      </c>
      <c r="C34" s="2"/>
    </row>
    <row r="35">
      <c r="A35" s="12" t="s">
        <v>376</v>
      </c>
      <c r="B35" s="2" t="s">
        <v>14</v>
      </c>
      <c r="C35" s="2"/>
    </row>
    <row r="36">
      <c r="A36" s="12" t="s">
        <v>377</v>
      </c>
      <c r="B36" s="2" t="s">
        <v>20</v>
      </c>
      <c r="C36" s="2"/>
    </row>
    <row r="37">
      <c r="A37" s="11" t="s">
        <v>378</v>
      </c>
      <c r="B37" s="2" t="s">
        <v>20</v>
      </c>
      <c r="C37" s="2"/>
    </row>
  </sheetData>
  <dataValidations>
    <dataValidation type="list" allowBlank="1" showErrorMessage="1" sqref="B2:C37">
      <formula1>"Layout Shifted,Layout Changed,Size of Page/Header Changed,Specific Items are Mis-aligned,Box Size Changed,New Contents,Contents Disappeared,Box Shape Changed,Box Disappeared,Border Disappeared,Wrong Border Thickness,New Buttons,New Border Appeared,Box Col"&amp;"or Changed,Text Color Changed,Border Color Changed,Text Disappeared,Contents of Text Changed,Text Size Changed,New Text,Undefined/Wrong State is Shown,Default State is Changed,No or Few Visual Diffrences Detected,Fragile Snapshot,Focus Does Not Work,Flack"&amp;"y Test,No Changes,Image Adjusted,Image Replaced,None,OutOfScope: Duplicates,OutOfScope: Cannot access,OutOfScope: Chromatic Error,OutOfScope: New Story,OutOfScope: Not VRT Discussion"</formula1>
    </dataValidation>
  </dataValidations>
  <hyperlinks>
    <hyperlink r:id="rId1" location="issuecomment-2670908811" ref="A2"/>
    <hyperlink r:id="rId2" location="discussion_r1974730734" ref="A3"/>
    <hyperlink r:id="rId3" location="issuecomment-2668874799" ref="A4"/>
    <hyperlink r:id="rId4" location="issuecomment-2738116384" ref="A5"/>
    <hyperlink r:id="rId5" location="issuecomment-2750462330" ref="A6"/>
    <hyperlink r:id="rId6" location="issuecomment-2730449028" ref="A7"/>
    <hyperlink r:id="rId7" location="discussion_r2006483914" ref="A8"/>
    <hyperlink r:id="rId8" location="discussion_r2008301713" ref="A9"/>
    <hyperlink r:id="rId9" location="discussion_r1977424201" ref="A10"/>
    <hyperlink r:id="rId10" location="issuecomment-2703653274" ref="A11"/>
    <hyperlink r:id="rId11" location="issuecomment-2693948041" ref="A12"/>
    <hyperlink r:id="rId12" location="issuecomment-2795597092" ref="A13"/>
    <hyperlink r:id="rId13" location="discussion_r2049478574" ref="A14"/>
    <hyperlink r:id="rId14" location="issuecomment-2888992525" ref="A15"/>
    <hyperlink r:id="rId15" location="issuecomment-2889053424" ref="A16"/>
    <hyperlink r:id="rId16" location="issuecomment-2889218109" ref="A17"/>
    <hyperlink r:id="rId17" location="issuecomment-2884484097" ref="A18"/>
    <hyperlink r:id="rId18" location="discussion_r2096028845" ref="A19"/>
    <hyperlink r:id="rId19" location="discussion_r2098766914" ref="A20"/>
    <hyperlink r:id="rId20" location="discussion_r2103548556" ref="A21"/>
    <hyperlink r:id="rId21" location="issuecomment-2887722760" ref="A22"/>
    <hyperlink r:id="rId22" location="issuecomment-3004356312" ref="A23"/>
    <hyperlink r:id="rId23" location="discussion_r2150341785" ref="A24"/>
    <hyperlink r:id="rId24" location="discussion_r2157012512" ref="A25"/>
    <hyperlink r:id="rId25" location="issuecomment-3134461611" ref="A26"/>
    <hyperlink r:id="rId26" location="issuecomment-3050388713" ref="A27"/>
    <hyperlink r:id="rId27" location="discussion_r2226684249" ref="A28"/>
    <hyperlink r:id="rId28" location="issuecomment-3037435884" ref="A29"/>
    <hyperlink r:id="rId29" location="issuecomment-3104643517" ref="A30"/>
    <hyperlink r:id="rId30" location="discussion_r2294739847" ref="A31"/>
    <hyperlink r:id="rId31" location="discussion_r2279534507" ref="A32"/>
    <hyperlink r:id="rId32" location="discussion_r2380229424" ref="A33"/>
    <hyperlink r:id="rId33" location="issuecomment-3314117225" ref="A34"/>
    <hyperlink r:id="rId34" location="issuecomment-3274242189" ref="A35"/>
    <hyperlink r:id="rId35" location="discussion_r2349918819" ref="A36"/>
    <hyperlink r:id="rId36" location="discussion_r2353846205" ref="A37"/>
  </hyperlinks>
  <drawing r:id="rId3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5.5"/>
    <col customWidth="1" min="2" max="2" width="32.5"/>
    <col customWidth="1" min="3" max="3" width="27.13"/>
    <col customWidth="1" min="4" max="4" width="40.63"/>
    <col customWidth="1" min="5" max="6" width="30.5"/>
    <col customWidth="1" min="7" max="7" width="27.38"/>
    <col customWidth="1" min="8" max="8" width="26.25"/>
    <col customWidth="1" min="9" max="9" width="30.88"/>
    <col customWidth="1" min="10" max="10" width="32.75"/>
  </cols>
  <sheetData>
    <row r="1">
      <c r="A1" s="2" t="s">
        <v>415</v>
      </c>
      <c r="B1" s="13" t="s">
        <v>439</v>
      </c>
      <c r="C1" s="13" t="s">
        <v>439</v>
      </c>
      <c r="D1" s="14" t="s">
        <v>440</v>
      </c>
      <c r="E1" s="14" t="s">
        <v>440</v>
      </c>
      <c r="F1" s="2" t="s">
        <v>441</v>
      </c>
      <c r="G1" s="15" t="s">
        <v>442</v>
      </c>
      <c r="H1" s="15" t="s">
        <v>442</v>
      </c>
      <c r="I1" s="16" t="s">
        <v>443</v>
      </c>
      <c r="J1" s="16" t="s">
        <v>443</v>
      </c>
    </row>
    <row r="2">
      <c r="A2" s="12" t="s">
        <v>345</v>
      </c>
      <c r="B2" s="13" t="s">
        <v>53</v>
      </c>
      <c r="C2" s="13"/>
      <c r="D2" s="14" t="s">
        <v>53</v>
      </c>
      <c r="E2" s="17"/>
      <c r="F2" s="7" t="str">
        <f t="shared" ref="F2:F35" si="1">IF(OR(AND(B2=D2, C2=E2), AND(B2=E2, C2=D2)), "ok", "conflict")</f>
        <v>ok</v>
      </c>
      <c r="G2" s="15"/>
      <c r="H2" s="15"/>
      <c r="I2" s="18" t="str">
        <f t="shared" ref="I2:I35" si="2">IF(F2="ok",B2,G2)</f>
        <v>OutOfScope: Not VRT Discussion</v>
      </c>
      <c r="J2" s="18" t="str">
        <f t="shared" ref="J2:J35" si="3">IF(F2="ok",C2,H2)</f>
        <v/>
      </c>
    </row>
    <row r="3">
      <c r="A3" s="12" t="s">
        <v>346</v>
      </c>
      <c r="B3" s="13" t="s">
        <v>5</v>
      </c>
      <c r="C3" s="13"/>
      <c r="D3" s="14" t="s">
        <v>5</v>
      </c>
      <c r="E3" s="17"/>
      <c r="F3" s="7" t="str">
        <f t="shared" si="1"/>
        <v>ok</v>
      </c>
      <c r="G3" s="15"/>
      <c r="H3" s="15"/>
      <c r="I3" s="18" t="str">
        <f t="shared" si="2"/>
        <v>OutOfScope: Duplicates</v>
      </c>
      <c r="J3" s="18" t="str">
        <f t="shared" si="3"/>
        <v/>
      </c>
    </row>
    <row r="4">
      <c r="A4" s="12" t="s">
        <v>347</v>
      </c>
      <c r="B4" s="13" t="s">
        <v>5</v>
      </c>
      <c r="C4" s="13"/>
      <c r="D4" s="14" t="s">
        <v>5</v>
      </c>
      <c r="E4" s="17"/>
      <c r="F4" s="7" t="str">
        <f t="shared" si="1"/>
        <v>ok</v>
      </c>
      <c r="G4" s="15"/>
      <c r="H4" s="15"/>
      <c r="I4" s="18" t="str">
        <f t="shared" si="2"/>
        <v>OutOfScope: Duplicates</v>
      </c>
      <c r="J4" s="18" t="str">
        <f t="shared" si="3"/>
        <v/>
      </c>
    </row>
    <row r="5">
      <c r="A5" s="11" t="s">
        <v>348</v>
      </c>
      <c r="B5" s="13" t="s">
        <v>179</v>
      </c>
      <c r="C5" s="13"/>
      <c r="D5" s="14" t="s">
        <v>51</v>
      </c>
      <c r="E5" s="17"/>
      <c r="F5" s="7" t="str">
        <f t="shared" si="1"/>
        <v>conflict</v>
      </c>
      <c r="G5" s="15" t="s">
        <v>51</v>
      </c>
      <c r="H5" s="15"/>
      <c r="I5" s="18" t="str">
        <f t="shared" si="2"/>
        <v>Box Size Changed</v>
      </c>
      <c r="J5" s="18" t="str">
        <f t="shared" si="3"/>
        <v/>
      </c>
    </row>
    <row r="6">
      <c r="A6" s="12" t="s">
        <v>349</v>
      </c>
      <c r="B6" s="13" t="s">
        <v>20</v>
      </c>
      <c r="C6" s="13"/>
      <c r="D6" s="14" t="s">
        <v>20</v>
      </c>
      <c r="E6" s="17"/>
      <c r="F6" s="7" t="str">
        <f t="shared" si="1"/>
        <v>ok</v>
      </c>
      <c r="G6" s="15"/>
      <c r="H6" s="15"/>
      <c r="I6" s="18" t="str">
        <f t="shared" si="2"/>
        <v>OutOfScope: New Story</v>
      </c>
      <c r="J6" s="18" t="str">
        <f t="shared" si="3"/>
        <v/>
      </c>
    </row>
    <row r="7">
      <c r="A7" s="11" t="s">
        <v>350</v>
      </c>
      <c r="B7" s="13" t="s">
        <v>20</v>
      </c>
      <c r="C7" s="13"/>
      <c r="D7" s="14" t="s">
        <v>20</v>
      </c>
      <c r="E7" s="17"/>
      <c r="F7" s="7" t="str">
        <f t="shared" si="1"/>
        <v>ok</v>
      </c>
      <c r="G7" s="15"/>
      <c r="H7" s="15"/>
      <c r="I7" s="18" t="str">
        <f t="shared" si="2"/>
        <v>OutOfScope: New Story</v>
      </c>
      <c r="J7" s="18" t="str">
        <f t="shared" si="3"/>
        <v/>
      </c>
    </row>
    <row r="8">
      <c r="A8" s="12" t="s">
        <v>351</v>
      </c>
      <c r="B8" s="13" t="s">
        <v>75</v>
      </c>
      <c r="C8" s="13"/>
      <c r="D8" s="14" t="s">
        <v>75</v>
      </c>
      <c r="E8" s="17"/>
      <c r="F8" s="7" t="str">
        <f t="shared" si="1"/>
        <v>ok</v>
      </c>
      <c r="G8" s="15"/>
      <c r="H8" s="15"/>
      <c r="I8" s="18" t="str">
        <f t="shared" si="2"/>
        <v>Contents of Text Changed</v>
      </c>
      <c r="J8" s="18" t="str">
        <f t="shared" si="3"/>
        <v/>
      </c>
    </row>
    <row r="9">
      <c r="A9" s="12" t="s">
        <v>352</v>
      </c>
      <c r="B9" s="13" t="s">
        <v>23</v>
      </c>
      <c r="C9" s="13"/>
      <c r="D9" s="14" t="s">
        <v>130</v>
      </c>
      <c r="E9" s="17"/>
      <c r="F9" s="7" t="str">
        <f t="shared" si="1"/>
        <v>conflict</v>
      </c>
      <c r="G9" s="15" t="s">
        <v>160</v>
      </c>
      <c r="H9" s="15"/>
      <c r="I9" s="18" t="str">
        <f t="shared" si="2"/>
        <v>No or Few Visual Diffrences Detected</v>
      </c>
      <c r="J9" s="18" t="str">
        <f t="shared" si="3"/>
        <v/>
      </c>
    </row>
    <row r="10">
      <c r="A10" s="12" t="s">
        <v>353</v>
      </c>
      <c r="B10" s="13" t="s">
        <v>134</v>
      </c>
      <c r="C10" s="13"/>
      <c r="D10" s="14" t="s">
        <v>134</v>
      </c>
      <c r="E10" s="17"/>
      <c r="F10" s="7" t="str">
        <f t="shared" si="1"/>
        <v>ok</v>
      </c>
      <c r="G10" s="15"/>
      <c r="H10" s="15"/>
      <c r="I10" s="18" t="str">
        <f t="shared" si="2"/>
        <v>Border Color Changed</v>
      </c>
      <c r="J10" s="18" t="str">
        <f t="shared" si="3"/>
        <v/>
      </c>
    </row>
    <row r="11">
      <c r="A11" s="12" t="s">
        <v>354</v>
      </c>
      <c r="B11" s="13" t="s">
        <v>20</v>
      </c>
      <c r="C11" s="13"/>
      <c r="D11" s="14" t="s">
        <v>20</v>
      </c>
      <c r="E11" s="17"/>
      <c r="F11" s="7" t="str">
        <f t="shared" si="1"/>
        <v>ok</v>
      </c>
      <c r="G11" s="15"/>
      <c r="H11" s="15"/>
      <c r="I11" s="18" t="str">
        <f t="shared" si="2"/>
        <v>OutOfScope: New Story</v>
      </c>
      <c r="J11" s="18" t="str">
        <f t="shared" si="3"/>
        <v/>
      </c>
    </row>
    <row r="12">
      <c r="A12" s="11" t="s">
        <v>355</v>
      </c>
      <c r="B12" s="13" t="s">
        <v>27</v>
      </c>
      <c r="C12" s="13" t="s">
        <v>45</v>
      </c>
      <c r="D12" s="14" t="s">
        <v>45</v>
      </c>
      <c r="E12" s="14" t="s">
        <v>148</v>
      </c>
      <c r="F12" s="7" t="str">
        <f t="shared" si="1"/>
        <v>conflict</v>
      </c>
      <c r="G12" s="15" t="s">
        <v>27</v>
      </c>
      <c r="H12" s="15" t="s">
        <v>45</v>
      </c>
      <c r="I12" s="18" t="str">
        <f t="shared" si="2"/>
        <v>New Contents</v>
      </c>
      <c r="J12" s="18" t="str">
        <f t="shared" si="3"/>
        <v>Box Color Changed</v>
      </c>
    </row>
    <row r="13">
      <c r="A13" s="12" t="s">
        <v>356</v>
      </c>
      <c r="B13" s="13" t="s">
        <v>14</v>
      </c>
      <c r="C13" s="13"/>
      <c r="D13" s="14" t="s">
        <v>14</v>
      </c>
      <c r="E13" s="17"/>
      <c r="F13" s="7" t="str">
        <f t="shared" si="1"/>
        <v>ok</v>
      </c>
      <c r="G13" s="15"/>
      <c r="H13" s="15"/>
      <c r="I13" s="18" t="str">
        <f t="shared" si="2"/>
        <v>Layout Shifted</v>
      </c>
      <c r="J13" s="18" t="str">
        <f t="shared" si="3"/>
        <v/>
      </c>
    </row>
    <row r="14">
      <c r="A14" s="12" t="s">
        <v>357</v>
      </c>
      <c r="B14" s="13" t="s">
        <v>5</v>
      </c>
      <c r="C14" s="13"/>
      <c r="D14" s="14" t="s">
        <v>5</v>
      </c>
      <c r="E14" s="17"/>
      <c r="F14" s="7" t="str">
        <f t="shared" si="1"/>
        <v>ok</v>
      </c>
      <c r="G14" s="15"/>
      <c r="H14" s="15"/>
      <c r="I14" s="18" t="str">
        <f t="shared" si="2"/>
        <v>OutOfScope: Duplicates</v>
      </c>
      <c r="J14" s="18" t="str">
        <f t="shared" si="3"/>
        <v/>
      </c>
    </row>
    <row r="15">
      <c r="A15" s="11" t="s">
        <v>358</v>
      </c>
      <c r="B15" s="13" t="s">
        <v>14</v>
      </c>
      <c r="C15" s="13"/>
      <c r="D15" s="14" t="s">
        <v>14</v>
      </c>
      <c r="E15" s="17"/>
      <c r="F15" s="7" t="str">
        <f t="shared" si="1"/>
        <v>ok</v>
      </c>
      <c r="G15" s="15"/>
      <c r="H15" s="15"/>
      <c r="I15" s="18" t="str">
        <f t="shared" si="2"/>
        <v>Layout Shifted</v>
      </c>
      <c r="J15" s="18" t="str">
        <f t="shared" si="3"/>
        <v/>
      </c>
    </row>
    <row r="16">
      <c r="A16" s="11" t="s">
        <v>359</v>
      </c>
      <c r="B16" s="13" t="s">
        <v>14</v>
      </c>
      <c r="C16" s="13"/>
      <c r="D16" s="14" t="s">
        <v>14</v>
      </c>
      <c r="E16" s="17"/>
      <c r="F16" s="7" t="str">
        <f t="shared" si="1"/>
        <v>ok</v>
      </c>
      <c r="G16" s="15"/>
      <c r="H16" s="15"/>
      <c r="I16" s="18" t="str">
        <f t="shared" si="2"/>
        <v>Layout Shifted</v>
      </c>
      <c r="J16" s="18" t="str">
        <f t="shared" si="3"/>
        <v/>
      </c>
    </row>
    <row r="17">
      <c r="A17" s="12" t="s">
        <v>360</v>
      </c>
      <c r="B17" s="13" t="s">
        <v>20</v>
      </c>
      <c r="C17" s="13"/>
      <c r="D17" s="14" t="s">
        <v>20</v>
      </c>
      <c r="E17" s="17"/>
      <c r="F17" s="7" t="str">
        <f t="shared" si="1"/>
        <v>ok</v>
      </c>
      <c r="G17" s="15"/>
      <c r="H17" s="15"/>
      <c r="I17" s="18" t="str">
        <f t="shared" si="2"/>
        <v>OutOfScope: New Story</v>
      </c>
      <c r="J17" s="18" t="str">
        <f t="shared" si="3"/>
        <v/>
      </c>
    </row>
    <row r="18">
      <c r="A18" s="12" t="s">
        <v>361</v>
      </c>
      <c r="B18" s="13" t="s">
        <v>20</v>
      </c>
      <c r="C18" s="13"/>
      <c r="D18" s="14" t="s">
        <v>20</v>
      </c>
      <c r="E18" s="17"/>
      <c r="F18" s="7" t="str">
        <f t="shared" si="1"/>
        <v>ok</v>
      </c>
      <c r="G18" s="15"/>
      <c r="H18" s="15"/>
      <c r="I18" s="18" t="str">
        <f t="shared" si="2"/>
        <v>OutOfScope: New Story</v>
      </c>
      <c r="J18" s="18" t="str">
        <f t="shared" si="3"/>
        <v/>
      </c>
    </row>
    <row r="19">
      <c r="A19" s="11" t="s">
        <v>362</v>
      </c>
      <c r="B19" s="13" t="s">
        <v>20</v>
      </c>
      <c r="C19" s="13"/>
      <c r="D19" s="14" t="s">
        <v>20</v>
      </c>
      <c r="E19" s="17"/>
      <c r="F19" s="7" t="str">
        <f t="shared" si="1"/>
        <v>ok</v>
      </c>
      <c r="G19" s="15"/>
      <c r="H19" s="15"/>
      <c r="I19" s="18" t="str">
        <f t="shared" si="2"/>
        <v>OutOfScope: New Story</v>
      </c>
      <c r="J19" s="18" t="str">
        <f t="shared" si="3"/>
        <v/>
      </c>
    </row>
    <row r="20">
      <c r="A20" s="11" t="s">
        <v>363</v>
      </c>
      <c r="B20" s="13" t="s">
        <v>20</v>
      </c>
      <c r="C20" s="13"/>
      <c r="D20" s="14" t="s">
        <v>20</v>
      </c>
      <c r="E20" s="17"/>
      <c r="F20" s="7" t="str">
        <f t="shared" si="1"/>
        <v>ok</v>
      </c>
      <c r="G20" s="15"/>
      <c r="H20" s="15"/>
      <c r="I20" s="18" t="str">
        <f t="shared" si="2"/>
        <v>OutOfScope: New Story</v>
      </c>
      <c r="J20" s="18" t="str">
        <f t="shared" si="3"/>
        <v/>
      </c>
    </row>
    <row r="21">
      <c r="A21" s="11" t="s">
        <v>364</v>
      </c>
      <c r="B21" s="13" t="s">
        <v>26</v>
      </c>
      <c r="C21" s="13"/>
      <c r="D21" s="14" t="s">
        <v>91</v>
      </c>
      <c r="E21" s="17"/>
      <c r="F21" s="7" t="str">
        <f t="shared" si="1"/>
        <v>conflict</v>
      </c>
      <c r="G21" s="15" t="s">
        <v>91</v>
      </c>
      <c r="H21" s="15"/>
      <c r="I21" s="18" t="str">
        <f t="shared" si="2"/>
        <v>OutOfScope: Chromatic Error</v>
      </c>
      <c r="J21" s="18" t="str">
        <f t="shared" si="3"/>
        <v/>
      </c>
    </row>
    <row r="22">
      <c r="A22" s="11" t="s">
        <v>365</v>
      </c>
      <c r="B22" s="13" t="s">
        <v>20</v>
      </c>
      <c r="C22" s="13"/>
      <c r="D22" s="14" t="s">
        <v>20</v>
      </c>
      <c r="E22" s="14"/>
      <c r="F22" s="7" t="str">
        <f t="shared" si="1"/>
        <v>ok</v>
      </c>
      <c r="G22" s="15"/>
      <c r="H22" s="15"/>
      <c r="I22" s="18" t="str">
        <f t="shared" si="2"/>
        <v>OutOfScope: New Story</v>
      </c>
      <c r="J22" s="18" t="str">
        <f t="shared" si="3"/>
        <v/>
      </c>
    </row>
    <row r="23">
      <c r="A23" s="12" t="s">
        <v>366</v>
      </c>
      <c r="B23" s="13" t="s">
        <v>31</v>
      </c>
      <c r="C23" s="13"/>
      <c r="D23" s="14" t="s">
        <v>31</v>
      </c>
      <c r="E23" s="17"/>
      <c r="F23" s="7" t="str">
        <f t="shared" si="1"/>
        <v>ok</v>
      </c>
      <c r="G23" s="15"/>
      <c r="H23" s="15"/>
      <c r="I23" s="18" t="str">
        <f t="shared" si="2"/>
        <v>Undefined/Wrong State is Shown</v>
      </c>
      <c r="J23" s="18" t="str">
        <f t="shared" si="3"/>
        <v/>
      </c>
    </row>
    <row r="24">
      <c r="A24" s="12" t="s">
        <v>367</v>
      </c>
      <c r="B24" s="13" t="s">
        <v>14</v>
      </c>
      <c r="C24" s="13"/>
      <c r="D24" s="14" t="s">
        <v>14</v>
      </c>
      <c r="E24" s="17"/>
      <c r="F24" s="7" t="str">
        <f t="shared" si="1"/>
        <v>ok</v>
      </c>
      <c r="G24" s="15"/>
      <c r="H24" s="15"/>
      <c r="I24" s="18" t="str">
        <f t="shared" si="2"/>
        <v>Layout Shifted</v>
      </c>
      <c r="J24" s="18" t="str">
        <f t="shared" si="3"/>
        <v/>
      </c>
    </row>
    <row r="25">
      <c r="A25" s="12" t="s">
        <v>368</v>
      </c>
      <c r="B25" s="13" t="s">
        <v>53</v>
      </c>
      <c r="C25" s="13"/>
      <c r="D25" s="14" t="s">
        <v>53</v>
      </c>
      <c r="E25" s="17"/>
      <c r="F25" s="7" t="str">
        <f t="shared" si="1"/>
        <v>ok</v>
      </c>
      <c r="G25" s="15"/>
      <c r="H25" s="15"/>
      <c r="I25" s="18" t="str">
        <f t="shared" si="2"/>
        <v>OutOfScope: Not VRT Discussion</v>
      </c>
      <c r="J25" s="18" t="str">
        <f t="shared" si="3"/>
        <v/>
      </c>
    </row>
    <row r="26">
      <c r="A26" s="11" t="s">
        <v>369</v>
      </c>
      <c r="B26" s="13" t="s">
        <v>20</v>
      </c>
      <c r="C26" s="13"/>
      <c r="D26" s="14" t="s">
        <v>20</v>
      </c>
      <c r="E26" s="17"/>
      <c r="F26" s="7" t="str">
        <f t="shared" si="1"/>
        <v>ok</v>
      </c>
      <c r="G26" s="15"/>
      <c r="H26" s="15"/>
      <c r="I26" s="18" t="str">
        <f t="shared" si="2"/>
        <v>OutOfScope: New Story</v>
      </c>
      <c r="J26" s="18" t="str">
        <f t="shared" si="3"/>
        <v/>
      </c>
    </row>
    <row r="27">
      <c r="A27" s="11" t="s">
        <v>370</v>
      </c>
      <c r="B27" s="13" t="s">
        <v>14</v>
      </c>
      <c r="C27" s="13" t="s">
        <v>27</v>
      </c>
      <c r="D27" s="14" t="s">
        <v>27</v>
      </c>
      <c r="E27" s="14" t="s">
        <v>14</v>
      </c>
      <c r="F27" s="7" t="str">
        <f t="shared" si="1"/>
        <v>ok</v>
      </c>
      <c r="G27" s="15"/>
      <c r="H27" s="15"/>
      <c r="I27" s="18" t="str">
        <f t="shared" si="2"/>
        <v>Layout Shifted</v>
      </c>
      <c r="J27" s="18" t="str">
        <f t="shared" si="3"/>
        <v>New Contents</v>
      </c>
    </row>
    <row r="28">
      <c r="A28" s="11" t="s">
        <v>371</v>
      </c>
      <c r="B28" s="13" t="s">
        <v>14</v>
      </c>
      <c r="C28" s="13"/>
      <c r="D28" s="14" t="s">
        <v>14</v>
      </c>
      <c r="E28" s="17"/>
      <c r="F28" s="7" t="str">
        <f t="shared" si="1"/>
        <v>ok</v>
      </c>
      <c r="G28" s="15"/>
      <c r="H28" s="15"/>
      <c r="I28" s="18" t="str">
        <f t="shared" si="2"/>
        <v>Layout Shifted</v>
      </c>
      <c r="J28" s="18" t="str">
        <f t="shared" si="3"/>
        <v/>
      </c>
    </row>
    <row r="29">
      <c r="A29" s="11" t="s">
        <v>372</v>
      </c>
      <c r="B29" s="13" t="s">
        <v>45</v>
      </c>
      <c r="C29" s="13"/>
      <c r="D29" s="14" t="s">
        <v>45</v>
      </c>
      <c r="E29" s="17"/>
      <c r="F29" s="7" t="str">
        <f t="shared" si="1"/>
        <v>ok</v>
      </c>
      <c r="G29" s="15"/>
      <c r="H29" s="15"/>
      <c r="I29" s="18" t="str">
        <f t="shared" si="2"/>
        <v>Box Color Changed</v>
      </c>
      <c r="J29" s="18" t="str">
        <f t="shared" si="3"/>
        <v/>
      </c>
    </row>
    <row r="30">
      <c r="A30" s="12" t="s">
        <v>373</v>
      </c>
      <c r="B30" s="13" t="s">
        <v>134</v>
      </c>
      <c r="C30" s="13"/>
      <c r="D30" s="14" t="s">
        <v>134</v>
      </c>
      <c r="E30" s="17"/>
      <c r="F30" s="7" t="str">
        <f t="shared" si="1"/>
        <v>ok</v>
      </c>
      <c r="G30" s="15"/>
      <c r="H30" s="15"/>
      <c r="I30" s="18" t="str">
        <f t="shared" si="2"/>
        <v>Border Color Changed</v>
      </c>
      <c r="J30" s="18" t="str">
        <f t="shared" si="3"/>
        <v/>
      </c>
    </row>
    <row r="31">
      <c r="A31" s="12" t="s">
        <v>374</v>
      </c>
      <c r="B31" s="13" t="s">
        <v>91</v>
      </c>
      <c r="C31" s="13"/>
      <c r="D31" s="14" t="s">
        <v>91</v>
      </c>
      <c r="E31" s="17"/>
      <c r="F31" s="7" t="str">
        <f t="shared" si="1"/>
        <v>ok</v>
      </c>
      <c r="G31" s="15"/>
      <c r="H31" s="15"/>
      <c r="I31" s="18" t="str">
        <f t="shared" si="2"/>
        <v>OutOfScope: Chromatic Error</v>
      </c>
      <c r="J31" s="18" t="str">
        <f t="shared" si="3"/>
        <v/>
      </c>
    </row>
    <row r="32">
      <c r="A32" s="12" t="s">
        <v>375</v>
      </c>
      <c r="B32" s="13" t="s">
        <v>27</v>
      </c>
      <c r="C32" s="13"/>
      <c r="D32" s="14" t="s">
        <v>14</v>
      </c>
      <c r="E32" s="17"/>
      <c r="F32" s="7" t="str">
        <f t="shared" si="1"/>
        <v>conflict</v>
      </c>
      <c r="G32" s="15" t="s">
        <v>14</v>
      </c>
      <c r="H32" s="15"/>
      <c r="I32" s="18" t="str">
        <f t="shared" si="2"/>
        <v>Layout Shifted</v>
      </c>
      <c r="J32" s="18" t="str">
        <f t="shared" si="3"/>
        <v/>
      </c>
    </row>
    <row r="33">
      <c r="A33" s="12" t="s">
        <v>376</v>
      </c>
      <c r="B33" s="13" t="s">
        <v>14</v>
      </c>
      <c r="C33" s="13"/>
      <c r="D33" s="14" t="s">
        <v>5</v>
      </c>
      <c r="E33" s="17"/>
      <c r="F33" s="7" t="str">
        <f t="shared" si="1"/>
        <v>conflict</v>
      </c>
      <c r="G33" s="15" t="s">
        <v>23</v>
      </c>
      <c r="H33" s="15"/>
      <c r="I33" s="18" t="str">
        <f t="shared" si="2"/>
        <v>Layout Changed</v>
      </c>
      <c r="J33" s="18" t="str">
        <f t="shared" si="3"/>
        <v/>
      </c>
    </row>
    <row r="34">
      <c r="A34" s="12" t="s">
        <v>377</v>
      </c>
      <c r="B34" s="13" t="s">
        <v>20</v>
      </c>
      <c r="C34" s="13"/>
      <c r="D34" s="14" t="s">
        <v>20</v>
      </c>
      <c r="E34" s="17"/>
      <c r="F34" s="7" t="str">
        <f t="shared" si="1"/>
        <v>ok</v>
      </c>
      <c r="G34" s="15"/>
      <c r="H34" s="15"/>
      <c r="I34" s="18" t="str">
        <f t="shared" si="2"/>
        <v>OutOfScope: New Story</v>
      </c>
      <c r="J34" s="18" t="str">
        <f t="shared" si="3"/>
        <v/>
      </c>
    </row>
    <row r="35">
      <c r="A35" s="11" t="s">
        <v>378</v>
      </c>
      <c r="B35" s="13" t="s">
        <v>20</v>
      </c>
      <c r="C35" s="13"/>
      <c r="D35" s="14" t="s">
        <v>20</v>
      </c>
      <c r="E35" s="17"/>
      <c r="F35" s="7" t="str">
        <f t="shared" si="1"/>
        <v>ok</v>
      </c>
      <c r="G35" s="15"/>
      <c r="H35" s="15"/>
      <c r="I35" s="18" t="str">
        <f t="shared" si="2"/>
        <v>OutOfScope: New Story</v>
      </c>
      <c r="J35" s="18" t="str">
        <f t="shared" si="3"/>
        <v/>
      </c>
    </row>
    <row r="41">
      <c r="C41" s="11" t="s">
        <v>444</v>
      </c>
      <c r="E41" s="7" t="str">
        <f t="shared" ref="E41:E76" si="4">IF(COUNTIF($F$41:$F$77, C41) = 0, "no", IF(COUNTIF($F$41:$F$77, C41) = 1, "OK", "duplicate"))</f>
        <v>no</v>
      </c>
      <c r="F41" s="6" t="s">
        <v>345</v>
      </c>
      <c r="G41" s="6" t="s">
        <v>345</v>
      </c>
      <c r="H41" s="7" t="str">
        <f t="shared" ref="H41:H74" si="5">IF(COUNTIF($A$1:$A$35, F41) = 0, "no", IF(COUNTIF($A$1:$A$35, F41) = 1, "OK", "duplicate"))</f>
        <v>OK</v>
      </c>
    </row>
    <row r="42">
      <c r="C42" s="12" t="s">
        <v>345</v>
      </c>
      <c r="E42" s="7" t="str">
        <f t="shared" si="4"/>
        <v>OK</v>
      </c>
      <c r="F42" s="6" t="s">
        <v>346</v>
      </c>
      <c r="G42" s="6" t="s">
        <v>346</v>
      </c>
      <c r="H42" s="7" t="str">
        <f t="shared" si="5"/>
        <v>OK</v>
      </c>
    </row>
    <row r="43">
      <c r="C43" s="11" t="s">
        <v>445</v>
      </c>
      <c r="E43" s="7" t="str">
        <f t="shared" si="4"/>
        <v>no</v>
      </c>
      <c r="F43" s="6" t="s">
        <v>347</v>
      </c>
      <c r="G43" s="6" t="s">
        <v>347</v>
      </c>
      <c r="H43" s="7" t="str">
        <f t="shared" si="5"/>
        <v>OK</v>
      </c>
    </row>
    <row r="44">
      <c r="C44" s="12" t="s">
        <v>346</v>
      </c>
      <c r="E44" s="7" t="str">
        <f t="shared" si="4"/>
        <v>OK</v>
      </c>
      <c r="F44" s="6" t="s">
        <v>348</v>
      </c>
      <c r="G44" s="6" t="s">
        <v>348</v>
      </c>
      <c r="H44" s="7" t="str">
        <f t="shared" si="5"/>
        <v>OK</v>
      </c>
    </row>
    <row r="45">
      <c r="C45" s="12" t="s">
        <v>347</v>
      </c>
      <c r="E45" s="7" t="str">
        <f t="shared" si="4"/>
        <v>OK</v>
      </c>
      <c r="F45" s="6" t="s">
        <v>349</v>
      </c>
      <c r="G45" s="6" t="s">
        <v>349</v>
      </c>
      <c r="H45" s="7" t="str">
        <f t="shared" si="5"/>
        <v>OK</v>
      </c>
    </row>
    <row r="46">
      <c r="C46" s="11" t="s">
        <v>348</v>
      </c>
      <c r="E46" s="7" t="str">
        <f t="shared" si="4"/>
        <v>OK</v>
      </c>
      <c r="F46" s="6" t="s">
        <v>350</v>
      </c>
      <c r="G46" s="6" t="s">
        <v>350</v>
      </c>
      <c r="H46" s="7" t="str">
        <f t="shared" si="5"/>
        <v>OK</v>
      </c>
    </row>
    <row r="47">
      <c r="C47" s="12" t="s">
        <v>349</v>
      </c>
      <c r="E47" s="7" t="str">
        <f t="shared" si="4"/>
        <v>OK</v>
      </c>
      <c r="F47" s="6" t="s">
        <v>351</v>
      </c>
      <c r="G47" s="6" t="s">
        <v>351</v>
      </c>
      <c r="H47" s="7" t="str">
        <f t="shared" si="5"/>
        <v>OK</v>
      </c>
    </row>
    <row r="48">
      <c r="C48" s="11" t="s">
        <v>350</v>
      </c>
      <c r="E48" s="7" t="str">
        <f t="shared" si="4"/>
        <v>OK</v>
      </c>
      <c r="F48" s="3" t="s">
        <v>352</v>
      </c>
      <c r="G48" s="3" t="s">
        <v>352</v>
      </c>
      <c r="H48" s="7" t="str">
        <f t="shared" si="5"/>
        <v>OK</v>
      </c>
    </row>
    <row r="49">
      <c r="C49" s="12" t="s">
        <v>351</v>
      </c>
      <c r="E49" s="7" t="str">
        <f t="shared" si="4"/>
        <v>OK</v>
      </c>
      <c r="F49" s="6" t="s">
        <v>353</v>
      </c>
      <c r="G49" s="6" t="s">
        <v>353</v>
      </c>
      <c r="H49" s="7" t="str">
        <f t="shared" si="5"/>
        <v>OK</v>
      </c>
    </row>
    <row r="50">
      <c r="C50" s="12" t="s">
        <v>352</v>
      </c>
      <c r="E50" s="7" t="str">
        <f t="shared" si="4"/>
        <v>OK</v>
      </c>
      <c r="F50" s="6" t="s">
        <v>354</v>
      </c>
      <c r="G50" s="6" t="s">
        <v>354</v>
      </c>
      <c r="H50" s="7" t="str">
        <f t="shared" si="5"/>
        <v>OK</v>
      </c>
    </row>
    <row r="51">
      <c r="C51" s="12" t="s">
        <v>353</v>
      </c>
      <c r="E51" s="7" t="str">
        <f t="shared" si="4"/>
        <v>OK</v>
      </c>
      <c r="F51" s="6" t="s">
        <v>355</v>
      </c>
      <c r="G51" s="6" t="s">
        <v>355</v>
      </c>
      <c r="H51" s="7" t="str">
        <f t="shared" si="5"/>
        <v>OK</v>
      </c>
    </row>
    <row r="52">
      <c r="C52" s="12" t="s">
        <v>354</v>
      </c>
      <c r="E52" s="7" t="str">
        <f t="shared" si="4"/>
        <v>OK</v>
      </c>
      <c r="F52" s="6" t="s">
        <v>356</v>
      </c>
      <c r="G52" s="6" t="s">
        <v>356</v>
      </c>
      <c r="H52" s="7" t="str">
        <f t="shared" si="5"/>
        <v>OK</v>
      </c>
    </row>
    <row r="53">
      <c r="C53" s="11" t="s">
        <v>355</v>
      </c>
      <c r="E53" s="7" t="str">
        <f t="shared" si="4"/>
        <v>OK</v>
      </c>
      <c r="F53" s="6" t="s">
        <v>357</v>
      </c>
      <c r="G53" s="6" t="s">
        <v>357</v>
      </c>
      <c r="H53" s="7" t="str">
        <f t="shared" si="5"/>
        <v>OK</v>
      </c>
    </row>
    <row r="54">
      <c r="C54" s="12" t="s">
        <v>356</v>
      </c>
      <c r="E54" s="7" t="str">
        <f t="shared" si="4"/>
        <v>OK</v>
      </c>
      <c r="F54" s="6" t="s">
        <v>358</v>
      </c>
      <c r="G54" s="6" t="s">
        <v>358</v>
      </c>
      <c r="H54" s="7" t="str">
        <f t="shared" si="5"/>
        <v>OK</v>
      </c>
    </row>
    <row r="55">
      <c r="C55" s="12" t="s">
        <v>357</v>
      </c>
      <c r="E55" s="7" t="str">
        <f t="shared" si="4"/>
        <v>OK</v>
      </c>
      <c r="F55" s="6" t="s">
        <v>359</v>
      </c>
      <c r="G55" s="6" t="s">
        <v>359</v>
      </c>
      <c r="H55" s="7" t="str">
        <f t="shared" si="5"/>
        <v>OK</v>
      </c>
    </row>
    <row r="56">
      <c r="C56" s="11" t="s">
        <v>358</v>
      </c>
      <c r="E56" s="7" t="str">
        <f t="shared" si="4"/>
        <v>OK</v>
      </c>
      <c r="F56" s="6" t="s">
        <v>360</v>
      </c>
      <c r="G56" s="6" t="s">
        <v>360</v>
      </c>
      <c r="H56" s="7" t="str">
        <f t="shared" si="5"/>
        <v>OK</v>
      </c>
    </row>
    <row r="57">
      <c r="C57" s="11" t="s">
        <v>359</v>
      </c>
      <c r="E57" s="7" t="str">
        <f t="shared" si="4"/>
        <v>OK</v>
      </c>
      <c r="F57" s="6" t="s">
        <v>361</v>
      </c>
      <c r="G57" s="6" t="s">
        <v>361</v>
      </c>
      <c r="H57" s="7" t="str">
        <f t="shared" si="5"/>
        <v>OK</v>
      </c>
    </row>
    <row r="58">
      <c r="C58" s="12" t="s">
        <v>360</v>
      </c>
      <c r="E58" s="7" t="str">
        <f t="shared" si="4"/>
        <v>OK</v>
      </c>
      <c r="F58" s="6" t="s">
        <v>362</v>
      </c>
      <c r="G58" s="6" t="s">
        <v>362</v>
      </c>
      <c r="H58" s="7" t="str">
        <f t="shared" si="5"/>
        <v>OK</v>
      </c>
    </row>
    <row r="59">
      <c r="C59" s="12" t="s">
        <v>361</v>
      </c>
      <c r="E59" s="7" t="str">
        <f t="shared" si="4"/>
        <v>OK</v>
      </c>
      <c r="F59" s="6" t="s">
        <v>363</v>
      </c>
      <c r="G59" s="6" t="s">
        <v>363</v>
      </c>
      <c r="H59" s="7" t="str">
        <f t="shared" si="5"/>
        <v>OK</v>
      </c>
    </row>
    <row r="60">
      <c r="C60" s="11" t="s">
        <v>362</v>
      </c>
      <c r="E60" s="7" t="str">
        <f t="shared" si="4"/>
        <v>OK</v>
      </c>
      <c r="F60" s="6" t="s">
        <v>364</v>
      </c>
      <c r="G60" s="6" t="s">
        <v>364</v>
      </c>
      <c r="H60" s="7" t="str">
        <f t="shared" si="5"/>
        <v>OK</v>
      </c>
    </row>
    <row r="61">
      <c r="C61" s="11" t="s">
        <v>363</v>
      </c>
      <c r="E61" s="7" t="str">
        <f t="shared" si="4"/>
        <v>OK</v>
      </c>
      <c r="F61" s="6" t="s">
        <v>365</v>
      </c>
      <c r="G61" s="6" t="s">
        <v>365</v>
      </c>
      <c r="H61" s="7" t="str">
        <f t="shared" si="5"/>
        <v>OK</v>
      </c>
    </row>
    <row r="62">
      <c r="C62" s="11" t="s">
        <v>364</v>
      </c>
      <c r="E62" s="7" t="str">
        <f t="shared" si="4"/>
        <v>OK</v>
      </c>
      <c r="F62" s="6" t="s">
        <v>366</v>
      </c>
      <c r="G62" s="6" t="s">
        <v>366</v>
      </c>
      <c r="H62" s="7" t="str">
        <f t="shared" si="5"/>
        <v>OK</v>
      </c>
    </row>
    <row r="63">
      <c r="C63" s="11" t="s">
        <v>365</v>
      </c>
      <c r="E63" s="7" t="str">
        <f t="shared" si="4"/>
        <v>OK</v>
      </c>
      <c r="F63" s="6" t="s">
        <v>367</v>
      </c>
      <c r="G63" s="6" t="s">
        <v>367</v>
      </c>
      <c r="H63" s="7" t="str">
        <f t="shared" si="5"/>
        <v>OK</v>
      </c>
    </row>
    <row r="64">
      <c r="C64" s="12" t="s">
        <v>366</v>
      </c>
      <c r="E64" s="7" t="str">
        <f t="shared" si="4"/>
        <v>OK</v>
      </c>
      <c r="F64" s="6" t="s">
        <v>368</v>
      </c>
      <c r="G64" s="6" t="s">
        <v>368</v>
      </c>
      <c r="H64" s="7" t="str">
        <f t="shared" si="5"/>
        <v>OK</v>
      </c>
    </row>
    <row r="65">
      <c r="C65" s="12" t="s">
        <v>367</v>
      </c>
      <c r="E65" s="7" t="str">
        <f t="shared" si="4"/>
        <v>OK</v>
      </c>
      <c r="F65" s="6" t="s">
        <v>369</v>
      </c>
      <c r="G65" s="6" t="s">
        <v>369</v>
      </c>
      <c r="H65" s="7" t="str">
        <f t="shared" si="5"/>
        <v>OK</v>
      </c>
    </row>
    <row r="66">
      <c r="C66" s="12" t="s">
        <v>368</v>
      </c>
      <c r="E66" s="7" t="str">
        <f t="shared" si="4"/>
        <v>OK</v>
      </c>
      <c r="F66" s="3" t="s">
        <v>370</v>
      </c>
      <c r="G66" s="3" t="s">
        <v>370</v>
      </c>
      <c r="H66" s="7" t="str">
        <f t="shared" si="5"/>
        <v>OK</v>
      </c>
    </row>
    <row r="67">
      <c r="C67" s="11" t="s">
        <v>369</v>
      </c>
      <c r="E67" s="7" t="str">
        <f t="shared" si="4"/>
        <v>OK</v>
      </c>
      <c r="F67" s="3" t="s">
        <v>371</v>
      </c>
      <c r="G67" s="3" t="s">
        <v>371</v>
      </c>
      <c r="H67" s="7" t="str">
        <f t="shared" si="5"/>
        <v>OK</v>
      </c>
    </row>
    <row r="68">
      <c r="C68" s="11" t="s">
        <v>370</v>
      </c>
      <c r="E68" s="7" t="str">
        <f t="shared" si="4"/>
        <v>OK</v>
      </c>
      <c r="F68" s="6" t="s">
        <v>372</v>
      </c>
      <c r="G68" s="6" t="s">
        <v>372</v>
      </c>
      <c r="H68" s="7" t="str">
        <f t="shared" si="5"/>
        <v>OK</v>
      </c>
    </row>
    <row r="69">
      <c r="C69" s="11" t="s">
        <v>371</v>
      </c>
      <c r="E69" s="7" t="str">
        <f t="shared" si="4"/>
        <v>OK</v>
      </c>
      <c r="F69" s="6" t="s">
        <v>373</v>
      </c>
      <c r="G69" s="6" t="s">
        <v>373</v>
      </c>
      <c r="H69" s="7" t="str">
        <f t="shared" si="5"/>
        <v>OK</v>
      </c>
    </row>
    <row r="70">
      <c r="C70" s="11" t="s">
        <v>372</v>
      </c>
      <c r="E70" s="7" t="str">
        <f t="shared" si="4"/>
        <v>OK</v>
      </c>
      <c r="F70" s="6" t="s">
        <v>374</v>
      </c>
      <c r="G70" s="6" t="s">
        <v>374</v>
      </c>
      <c r="H70" s="7" t="str">
        <f t="shared" si="5"/>
        <v>OK</v>
      </c>
    </row>
    <row r="71">
      <c r="C71" s="12" t="s">
        <v>373</v>
      </c>
      <c r="E71" s="7" t="str">
        <f t="shared" si="4"/>
        <v>OK</v>
      </c>
      <c r="F71" s="6" t="s">
        <v>375</v>
      </c>
      <c r="G71" s="6" t="s">
        <v>375</v>
      </c>
      <c r="H71" s="7" t="str">
        <f t="shared" si="5"/>
        <v>OK</v>
      </c>
    </row>
    <row r="72">
      <c r="C72" s="12" t="s">
        <v>374</v>
      </c>
      <c r="E72" s="7" t="str">
        <f t="shared" si="4"/>
        <v>OK</v>
      </c>
      <c r="F72" s="6" t="s">
        <v>376</v>
      </c>
      <c r="G72" s="6" t="s">
        <v>376</v>
      </c>
      <c r="H72" s="7" t="str">
        <f t="shared" si="5"/>
        <v>OK</v>
      </c>
    </row>
    <row r="73">
      <c r="C73" s="12" t="s">
        <v>375</v>
      </c>
      <c r="E73" s="7" t="str">
        <f t="shared" si="4"/>
        <v>OK</v>
      </c>
      <c r="F73" s="6" t="s">
        <v>377</v>
      </c>
      <c r="G73" s="6" t="s">
        <v>377</v>
      </c>
      <c r="H73" s="7" t="str">
        <f t="shared" si="5"/>
        <v>OK</v>
      </c>
    </row>
    <row r="74">
      <c r="C74" s="12" t="s">
        <v>376</v>
      </c>
      <c r="E74" s="7" t="str">
        <f t="shared" si="4"/>
        <v>OK</v>
      </c>
      <c r="F74" s="6" t="s">
        <v>378</v>
      </c>
      <c r="G74" s="6" t="s">
        <v>378</v>
      </c>
      <c r="H74" s="7" t="str">
        <f t="shared" si="5"/>
        <v>OK</v>
      </c>
    </row>
    <row r="75">
      <c r="C75" s="12" t="s">
        <v>377</v>
      </c>
      <c r="E75" s="7" t="str">
        <f t="shared" si="4"/>
        <v>OK</v>
      </c>
    </row>
    <row r="76">
      <c r="C76" s="11" t="s">
        <v>378</v>
      </c>
      <c r="E76" s="7" t="str">
        <f t="shared" si="4"/>
        <v>OK</v>
      </c>
      <c r="F76" s="9"/>
    </row>
  </sheetData>
  <conditionalFormatting sqref="F2:F35">
    <cfRule type="cellIs" dxfId="0" priority="1" operator="equal">
      <formula>"conflict"</formula>
    </cfRule>
  </conditionalFormatting>
  <dataValidations>
    <dataValidation type="list" allowBlank="1" showErrorMessage="1" sqref="B2:E35 G2:H35">
      <formula1>"Layout Shifted,Layout Changed,Size of Page/Header Changed,Specific Items are Mis-aligned,Box Size Changed,New Contents,Contents Disappeared,Box Shape Changed,Box Disappeared,Border Disappeared,Wrong Border Thickness,New Buttons,New Border Appeared,Box Col"&amp;"or Changed,Text Color Changed,Border Color Changed,Text Disappeared,Contents of Text Changed,Text Size Changed,New Text,Undefined/Wrong State is Shown,Default State is Changed,No or Few Visual Diffrences Detected,Fragile Snapshot,Focus Does Not Work,Flack"&amp;"y Test,No Changes,Image Adjusted,Image Replaced,None,OutOfScope: Duplicates,OutOfScope: Cannot access,OutOfScope: Chromatic Error,OutOfScope: New Story,OutOfScope: Not VRT Discussion"</formula1>
    </dataValidation>
  </dataValidations>
  <hyperlinks>
    <hyperlink r:id="rId1" location="discussion_r1974730734" ref="A2"/>
    <hyperlink r:id="rId2" location="issuecomment-2738116384" ref="A3"/>
    <hyperlink r:id="rId3" location="issuecomment-2750462330" ref="A4"/>
    <hyperlink r:id="rId4" location="issuecomment-2730449028" ref="A5"/>
    <hyperlink r:id="rId5" location="discussion_r2006483914" ref="A6"/>
    <hyperlink r:id="rId6" location="discussion_r2008301713" ref="A7"/>
    <hyperlink r:id="rId7" location="discussion_r1977424201" ref="A8"/>
    <hyperlink r:id="rId8" location="issuecomment-2703653274" ref="A9"/>
    <hyperlink r:id="rId9" location="issuecomment-2693948041" ref="A10"/>
    <hyperlink r:id="rId10" location="issuecomment-2795597092" ref="A11"/>
    <hyperlink r:id="rId11" location="discussion_r2049478574" ref="A12"/>
    <hyperlink r:id="rId12" location="issuecomment-2888992525" ref="A13"/>
    <hyperlink r:id="rId13" location="issuecomment-2889053424" ref="A14"/>
    <hyperlink r:id="rId14" location="issuecomment-2889218109" ref="A15"/>
    <hyperlink r:id="rId15" location="issuecomment-2884484097" ref="A16"/>
    <hyperlink r:id="rId16" location="discussion_r2096028845" ref="A17"/>
    <hyperlink r:id="rId17" location="discussion_r2098766914" ref="A18"/>
    <hyperlink r:id="rId18" location="discussion_r2103548556" ref="A19"/>
    <hyperlink r:id="rId19" location="issuecomment-2887722760" ref="A20"/>
    <hyperlink r:id="rId20" location="issuecomment-3004356312" ref="A21"/>
    <hyperlink r:id="rId21" location="discussion_r2150341785" ref="A22"/>
    <hyperlink r:id="rId22" location="discussion_r2157012512" ref="A23"/>
    <hyperlink r:id="rId23" location="issuecomment-3134461611" ref="A24"/>
    <hyperlink r:id="rId24" location="issuecomment-3050388713" ref="A25"/>
    <hyperlink r:id="rId25" location="discussion_r2226684249" ref="A26"/>
    <hyperlink r:id="rId26" location="issuecomment-3037435884" ref="A27"/>
    <hyperlink r:id="rId27" location="issuecomment-3104643517" ref="A28"/>
    <hyperlink r:id="rId28" location="discussion_r2294739847" ref="A29"/>
    <hyperlink r:id="rId29" location="discussion_r2279534507" ref="A30"/>
    <hyperlink r:id="rId30" location="discussion_r2380229424" ref="A31"/>
    <hyperlink r:id="rId31" location="issuecomment-3314117225" ref="A32"/>
    <hyperlink r:id="rId32" location="issuecomment-3274242189" ref="A33"/>
    <hyperlink r:id="rId33" location="discussion_r2349918819" ref="A34"/>
    <hyperlink r:id="rId34" location="discussion_r2353846205" ref="A35"/>
    <hyperlink r:id="rId35" location="issuecomment-2670908811" ref="C41"/>
    <hyperlink r:id="rId36" location="discussion_r1974730734" ref="F41"/>
    <hyperlink r:id="rId37" location="discussion_r1974730734" ref="G41"/>
    <hyperlink r:id="rId38" location="discussion_r1974730734" ref="C42"/>
    <hyperlink r:id="rId39" location="issuecomment-2738116384" ref="F42"/>
    <hyperlink r:id="rId40" location="issuecomment-2738116384" ref="G42"/>
    <hyperlink r:id="rId41" location="issuecomment-2668874799" ref="C43"/>
    <hyperlink r:id="rId42" location="issuecomment-2750462330" ref="F43"/>
    <hyperlink r:id="rId43" location="issuecomment-2750462330" ref="G43"/>
    <hyperlink r:id="rId44" location="issuecomment-2738116384" ref="C44"/>
    <hyperlink r:id="rId45" location="issuecomment-2730449028" ref="F44"/>
    <hyperlink r:id="rId46" location="issuecomment-2730449028" ref="G44"/>
    <hyperlink r:id="rId47" location="issuecomment-2750462330" ref="C45"/>
    <hyperlink r:id="rId48" location="discussion_r2006483914" ref="F45"/>
    <hyperlink r:id="rId49" location="discussion_r2006483914" ref="G45"/>
    <hyperlink r:id="rId50" location="issuecomment-2730449028" ref="C46"/>
    <hyperlink r:id="rId51" location="discussion_r2008301713" ref="F46"/>
    <hyperlink r:id="rId52" location="discussion_r2008301713" ref="G46"/>
    <hyperlink r:id="rId53" location="discussion_r2006483914" ref="C47"/>
    <hyperlink r:id="rId54" location="discussion_r1977424201" ref="F47"/>
    <hyperlink r:id="rId55" location="discussion_r1977424201" ref="G47"/>
    <hyperlink r:id="rId56" location="discussion_r2008301713" ref="C48"/>
    <hyperlink r:id="rId57" location="issuecomment-2703653274" ref="F48"/>
    <hyperlink r:id="rId58" location="issuecomment-2703653274" ref="G48"/>
    <hyperlink r:id="rId59" location="discussion_r1977424201" ref="C49"/>
    <hyperlink r:id="rId60" location="issuecomment-2693948041" ref="F49"/>
    <hyperlink r:id="rId61" location="issuecomment-2693948041" ref="G49"/>
    <hyperlink r:id="rId62" location="issuecomment-2703653274" ref="C50"/>
    <hyperlink r:id="rId63" location="issuecomment-2795597092" ref="F50"/>
    <hyperlink r:id="rId64" location="issuecomment-2795597092" ref="G50"/>
    <hyperlink r:id="rId65" location="issuecomment-2693948041" ref="C51"/>
    <hyperlink r:id="rId66" location="discussion_r2049478574" ref="F51"/>
    <hyperlink r:id="rId67" location="discussion_r2049478574" ref="G51"/>
    <hyperlink r:id="rId68" location="issuecomment-2795597092" ref="C52"/>
    <hyperlink r:id="rId69" location="issuecomment-2888992525" ref="F52"/>
    <hyperlink r:id="rId70" location="issuecomment-2888992525" ref="G52"/>
    <hyperlink r:id="rId71" location="discussion_r2049478574" ref="C53"/>
    <hyperlink r:id="rId72" location="issuecomment-2889053424" ref="F53"/>
    <hyperlink r:id="rId73" location="issuecomment-2889053424" ref="G53"/>
    <hyperlink r:id="rId74" location="issuecomment-2888992525" ref="C54"/>
    <hyperlink r:id="rId75" location="issuecomment-2889218109" ref="F54"/>
    <hyperlink r:id="rId76" location="issuecomment-2889218109" ref="G54"/>
    <hyperlink r:id="rId77" location="issuecomment-2889053424" ref="C55"/>
    <hyperlink r:id="rId78" location="issuecomment-2884484097" ref="F55"/>
    <hyperlink r:id="rId79" location="issuecomment-2884484097" ref="G55"/>
    <hyperlink r:id="rId80" location="issuecomment-2889218109" ref="C56"/>
    <hyperlink r:id="rId81" location="discussion_r2096028845" ref="F56"/>
    <hyperlink r:id="rId82" location="discussion_r2096028845" ref="G56"/>
    <hyperlink r:id="rId83" location="issuecomment-2884484097" ref="C57"/>
    <hyperlink r:id="rId84" location="discussion_r2098766914" ref="F57"/>
    <hyperlink r:id="rId85" location="discussion_r2098766914" ref="G57"/>
    <hyperlink r:id="rId86" location="discussion_r2096028845" ref="C58"/>
    <hyperlink r:id="rId87" location="discussion_r2103548556" ref="F58"/>
    <hyperlink r:id="rId88" location="discussion_r2103548556" ref="G58"/>
    <hyperlink r:id="rId89" location="discussion_r2098766914" ref="C59"/>
    <hyperlink r:id="rId90" location="issuecomment-2887722760" ref="F59"/>
    <hyperlink r:id="rId91" location="issuecomment-2887722760" ref="G59"/>
    <hyperlink r:id="rId92" location="discussion_r2103548556" ref="C60"/>
    <hyperlink r:id="rId93" location="issuecomment-3004356312" ref="F60"/>
    <hyperlink r:id="rId94" location="issuecomment-3004356312" ref="G60"/>
    <hyperlink r:id="rId95" location="issuecomment-2887722760" ref="C61"/>
    <hyperlink r:id="rId96" location="discussion_r2150341785" ref="F61"/>
    <hyperlink r:id="rId97" location="discussion_r2150341785" ref="G61"/>
    <hyperlink r:id="rId98" location="issuecomment-3004356312" ref="C62"/>
    <hyperlink r:id="rId99" location="discussion_r2157012512" ref="F62"/>
    <hyperlink r:id="rId100" location="discussion_r2157012512" ref="G62"/>
    <hyperlink r:id="rId101" location="discussion_r2150341785" ref="C63"/>
    <hyperlink r:id="rId102" location="issuecomment-3134461611" ref="F63"/>
    <hyperlink r:id="rId103" location="issuecomment-3134461611" ref="G63"/>
    <hyperlink r:id="rId104" location="discussion_r2157012512" ref="C64"/>
    <hyperlink r:id="rId105" location="issuecomment-3050388713" ref="F64"/>
    <hyperlink r:id="rId106" location="issuecomment-3050388713" ref="G64"/>
    <hyperlink r:id="rId107" location="issuecomment-3134461611" ref="C65"/>
    <hyperlink r:id="rId108" location="discussion_r2226684249" ref="F65"/>
    <hyperlink r:id="rId109" location="discussion_r2226684249" ref="G65"/>
    <hyperlink r:id="rId110" location="issuecomment-3050388713" ref="C66"/>
    <hyperlink r:id="rId111" location="issuecomment-3037435884" ref="F66"/>
    <hyperlink r:id="rId112" location="issuecomment-3037435884" ref="G66"/>
    <hyperlink r:id="rId113" location="discussion_r2226684249" ref="C67"/>
    <hyperlink r:id="rId114" location="issuecomment-3104643517" ref="F67"/>
    <hyperlink r:id="rId115" location="issuecomment-3104643517" ref="G67"/>
    <hyperlink r:id="rId116" location="issuecomment-3037435884" ref="C68"/>
    <hyperlink r:id="rId117" location="discussion_r2294739847" ref="F68"/>
    <hyperlink r:id="rId118" location="discussion_r2294739847" ref="G68"/>
    <hyperlink r:id="rId119" location="issuecomment-3104643517" ref="C69"/>
    <hyperlink r:id="rId120" location="discussion_r2279534507" ref="F69"/>
    <hyperlink r:id="rId121" location="discussion_r2279534507" ref="G69"/>
    <hyperlink r:id="rId122" location="discussion_r2294739847" ref="C70"/>
    <hyperlink r:id="rId123" location="discussion_r2380229424" ref="F70"/>
    <hyperlink r:id="rId124" location="discussion_r2380229424" ref="G70"/>
    <hyperlink r:id="rId125" location="discussion_r2279534507" ref="C71"/>
    <hyperlink r:id="rId126" location="issuecomment-3314117225" ref="F71"/>
    <hyperlink r:id="rId127" location="issuecomment-3314117225" ref="G71"/>
    <hyperlink r:id="rId128" location="discussion_r2380229424" ref="C72"/>
    <hyperlink r:id="rId129" location="issuecomment-3274242189" ref="F72"/>
    <hyperlink r:id="rId130" location="issuecomment-3274242189" ref="G72"/>
    <hyperlink r:id="rId131" location="issuecomment-3314117225" ref="C73"/>
    <hyperlink r:id="rId132" location="discussion_r2349918819" ref="F73"/>
    <hyperlink r:id="rId133" location="discussion_r2349918819" ref="G73"/>
    <hyperlink r:id="rId134" location="issuecomment-3274242189" ref="C74"/>
    <hyperlink r:id="rId135" location="discussion_r2353846205" ref="F74"/>
    <hyperlink r:id="rId136" location="discussion_r2353846205" ref="G74"/>
    <hyperlink r:id="rId137" location="discussion_r2349918819" ref="C75"/>
    <hyperlink r:id="rId138" location="discussion_r2353846205" ref="C76"/>
  </hyperlinks>
  <drawing r:id="rId139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3.38"/>
    <col customWidth="1" min="2" max="2" width="39.38"/>
  </cols>
  <sheetData>
    <row r="1">
      <c r="A1" s="2" t="s">
        <v>415</v>
      </c>
      <c r="B1" s="2" t="s">
        <v>414</v>
      </c>
    </row>
    <row r="2">
      <c r="A2" s="12" t="s">
        <v>191</v>
      </c>
      <c r="B2" s="7"/>
    </row>
    <row r="3">
      <c r="A3" s="12" t="s">
        <v>345</v>
      </c>
      <c r="B3" s="7"/>
    </row>
    <row r="4">
      <c r="A4" s="12" t="s">
        <v>192</v>
      </c>
      <c r="B4" s="7"/>
    </row>
    <row r="5">
      <c r="A5" s="12" t="s">
        <v>346</v>
      </c>
      <c r="B5" s="7"/>
    </row>
    <row r="6">
      <c r="A6" s="12" t="s">
        <v>347</v>
      </c>
      <c r="B6" s="7"/>
    </row>
    <row r="7">
      <c r="A7" s="12" t="s">
        <v>348</v>
      </c>
      <c r="B7" s="7"/>
    </row>
    <row r="8">
      <c r="A8" s="12" t="s">
        <v>349</v>
      </c>
      <c r="B8" s="7"/>
    </row>
    <row r="9">
      <c r="A9" s="12" t="s">
        <v>350</v>
      </c>
      <c r="B9" s="7"/>
    </row>
    <row r="10">
      <c r="A10" s="12" t="s">
        <v>351</v>
      </c>
      <c r="B10" s="7"/>
    </row>
    <row r="11">
      <c r="A11" s="12" t="s">
        <v>352</v>
      </c>
      <c r="B11" s="7"/>
    </row>
    <row r="12">
      <c r="A12" s="12" t="s">
        <v>353</v>
      </c>
      <c r="B12" s="7"/>
    </row>
    <row r="13">
      <c r="A13" s="12" t="s">
        <v>354</v>
      </c>
      <c r="B13" s="7"/>
    </row>
    <row r="14">
      <c r="A14" s="12" t="s">
        <v>355</v>
      </c>
      <c r="B14" s="7"/>
    </row>
    <row r="15">
      <c r="A15" s="12" t="s">
        <v>356</v>
      </c>
      <c r="B15" s="7"/>
    </row>
    <row r="16">
      <c r="A16" s="12" t="s">
        <v>357</v>
      </c>
      <c r="B16" s="7"/>
    </row>
    <row r="17">
      <c r="A17" s="12" t="s">
        <v>358</v>
      </c>
      <c r="B17" s="7"/>
    </row>
    <row r="18">
      <c r="A18" s="12" t="s">
        <v>359</v>
      </c>
      <c r="B18" s="7"/>
    </row>
    <row r="19">
      <c r="A19" s="12" t="s">
        <v>360</v>
      </c>
      <c r="B19" s="7"/>
    </row>
    <row r="20">
      <c r="A20" s="12" t="s">
        <v>361</v>
      </c>
      <c r="B20" s="7"/>
    </row>
    <row r="21">
      <c r="A21" s="12" t="s">
        <v>362</v>
      </c>
      <c r="B21" s="7"/>
    </row>
    <row r="22">
      <c r="A22" s="12" t="s">
        <v>363</v>
      </c>
      <c r="B22" s="7"/>
    </row>
    <row r="23">
      <c r="A23" s="12" t="s">
        <v>364</v>
      </c>
      <c r="B23" s="7"/>
    </row>
    <row r="24">
      <c r="A24" s="12" t="s">
        <v>365</v>
      </c>
      <c r="B24" s="7"/>
    </row>
    <row r="25">
      <c r="A25" s="12" t="s">
        <v>366</v>
      </c>
      <c r="B25" s="7"/>
    </row>
    <row r="26">
      <c r="A26" s="12" t="s">
        <v>367</v>
      </c>
      <c r="B26" s="7"/>
    </row>
    <row r="27">
      <c r="A27" s="12" t="s">
        <v>368</v>
      </c>
      <c r="B27" s="7"/>
    </row>
    <row r="28">
      <c r="A28" s="12" t="s">
        <v>369</v>
      </c>
      <c r="B28" s="7"/>
    </row>
    <row r="29">
      <c r="A29" s="12" t="s">
        <v>370</v>
      </c>
      <c r="B29" s="7"/>
    </row>
    <row r="30">
      <c r="A30" s="12" t="s">
        <v>371</v>
      </c>
      <c r="B30" s="7"/>
    </row>
    <row r="31">
      <c r="A31" s="12" t="s">
        <v>372</v>
      </c>
      <c r="B31" s="7"/>
    </row>
    <row r="32">
      <c r="A32" s="12" t="s">
        <v>373</v>
      </c>
      <c r="B32" s="7"/>
    </row>
    <row r="33">
      <c r="A33" s="12" t="s">
        <v>374</v>
      </c>
      <c r="B33" s="7"/>
    </row>
    <row r="34">
      <c r="A34" s="12" t="s">
        <v>375</v>
      </c>
      <c r="B34" s="7"/>
    </row>
    <row r="35">
      <c r="A35" s="12" t="s">
        <v>376</v>
      </c>
      <c r="B35" s="7"/>
    </row>
    <row r="36">
      <c r="A36" s="12" t="s">
        <v>377</v>
      </c>
      <c r="B36" s="7"/>
    </row>
    <row r="37">
      <c r="A37" s="12" t="s">
        <v>378</v>
      </c>
      <c r="B37" s="7"/>
    </row>
  </sheetData>
  <dataValidations>
    <dataValidation type="list" allowBlank="1" showErrorMessage="1" sqref="B2:B37">
      <formula1>"Layout Shifted,Layout Changed,Size of Page/Header Changed,Specific Items are Mis-aligned,Box Size Changed,New Contents,Contents Disappeared,Box Shape Changed,Box Disappeared,Border Disappeared,Wrong Border Thickness,New Buttons,New Border Appeared,Box Col"&amp;"or Changed,Text Color Changed,Border Color Changed,Text Disappeared,Contents of Text Changed,Text Size Changed,New Text,Undefined/Wrong State is Shown,Default State is Changed,No or Few Visual Diffrences Detected,Fragile Snapshot,Focus Does Not Work,Flack"&amp;"y Test,No Changes,Image Adjusted,Image Replaced"</formula1>
    </dataValidation>
  </dataValidations>
  <hyperlinks>
    <hyperlink r:id="rId1" location="issuecomment-2670908811" ref="A2"/>
    <hyperlink r:id="rId2" location="discussion_r1974730734" ref="A3"/>
    <hyperlink r:id="rId3" location="issuecomment-2668874799" ref="A4"/>
    <hyperlink r:id="rId4" location="issuecomment-2738116384" ref="A5"/>
    <hyperlink r:id="rId5" location="issuecomment-2750462330" ref="A6"/>
    <hyperlink r:id="rId6" location="issuecomment-2730449028" ref="A7"/>
    <hyperlink r:id="rId7" location="discussion_r2006483914" ref="A8"/>
    <hyperlink r:id="rId8" location="discussion_r2008301713" ref="A9"/>
    <hyperlink r:id="rId9" location="discussion_r1977424201" ref="A10"/>
    <hyperlink r:id="rId10" location="issuecomment-2703653274" ref="A11"/>
    <hyperlink r:id="rId11" location="issuecomment-2693948041" ref="A12"/>
    <hyperlink r:id="rId12" location="issuecomment-2795597092" ref="A13"/>
    <hyperlink r:id="rId13" location="discussion_r2049478574" ref="A14"/>
    <hyperlink r:id="rId14" location="issuecomment-2888992525" ref="A15"/>
    <hyperlink r:id="rId15" location="issuecomment-2889053424" ref="A16"/>
    <hyperlink r:id="rId16" location="issuecomment-2889218109" ref="A17"/>
    <hyperlink r:id="rId17" location="issuecomment-2884484097" ref="A18"/>
    <hyperlink r:id="rId18" location="discussion_r2096028845" ref="A19"/>
    <hyperlink r:id="rId19" location="discussion_r2098766914" ref="A20"/>
    <hyperlink r:id="rId20" location="discussion_r2103548556" ref="A21"/>
    <hyperlink r:id="rId21" location="issuecomment-2887722760" ref="A22"/>
    <hyperlink r:id="rId22" location="issuecomment-3004356312" ref="A23"/>
    <hyperlink r:id="rId23" location="discussion_r2150341785" ref="A24"/>
    <hyperlink r:id="rId24" location="discussion_r2157012512" ref="A25"/>
    <hyperlink r:id="rId25" location="issuecomment-3134461611" ref="A26"/>
    <hyperlink r:id="rId26" location="issuecomment-3050388713" ref="A27"/>
    <hyperlink r:id="rId27" location="discussion_r2226684249" ref="A28"/>
    <hyperlink r:id="rId28" location="issuecomment-3037435884" ref="A29"/>
    <hyperlink r:id="rId29" location="issuecomment-3104643517" ref="A30"/>
    <hyperlink r:id="rId30" location="discussion_r2294739847" ref="A31"/>
    <hyperlink r:id="rId31" location="discussion_r2279534507" ref="A32"/>
    <hyperlink r:id="rId32" location="discussion_r2380229424" ref="A33"/>
    <hyperlink r:id="rId33" location="issuecomment-3314117225" ref="A34"/>
    <hyperlink r:id="rId34" location="issuecomment-3274242189" ref="A35"/>
    <hyperlink r:id="rId35" location="discussion_r2349918819" ref="A36"/>
    <hyperlink r:id="rId36" location="discussion_r2353846205" ref="A37"/>
  </hyperlinks>
  <drawing r:id="rId3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63"/>
    <col customWidth="1" min="3" max="3" width="21.25"/>
  </cols>
  <sheetData>
    <row r="1">
      <c r="A1" s="2" t="s">
        <v>1</v>
      </c>
      <c r="C1" s="2" t="s">
        <v>446</v>
      </c>
    </row>
    <row r="2">
      <c r="A2" s="2" t="s">
        <v>14</v>
      </c>
      <c r="B2" s="7">
        <f>COUNTIF('シート7'!$I$1:$J$373,A2)</f>
        <v>42</v>
      </c>
      <c r="C2" s="2" t="s">
        <v>447</v>
      </c>
      <c r="D2" s="7">
        <f t="array" ref="D2">SUM(COUNTIF('シート7'!$I$1:$J$373, A2:A5))</f>
        <v>75</v>
      </c>
    </row>
    <row r="3">
      <c r="A3" s="2" t="s">
        <v>23</v>
      </c>
      <c r="B3" s="7">
        <f>COUNTIF('シート7'!$I$1:$J$373,A3)</f>
        <v>12</v>
      </c>
      <c r="C3" s="2" t="s">
        <v>448</v>
      </c>
      <c r="D3" s="7">
        <f t="array" ref="D3">SUM(COUNTIF('シート7'!$I$1:$J$373, A6:A14))</f>
        <v>52</v>
      </c>
    </row>
    <row r="4">
      <c r="A4" s="2" t="s">
        <v>7</v>
      </c>
      <c r="B4" s="7">
        <f>COUNTIF('シート7'!$I$1:$J$373,A4)</f>
        <v>11</v>
      </c>
      <c r="C4" s="2" t="s">
        <v>449</v>
      </c>
      <c r="D4" s="7">
        <f t="array" ref="D4">SUM(COUNTIF('シート7'!$I$1:$J$373, A15:A17))</f>
        <v>28</v>
      </c>
    </row>
    <row r="5">
      <c r="A5" s="2" t="s">
        <v>130</v>
      </c>
      <c r="B5" s="7">
        <f>COUNTIF('シート7'!$I$1:$J$373,A5)</f>
        <v>10</v>
      </c>
      <c r="C5" s="2" t="s">
        <v>450</v>
      </c>
      <c r="D5" s="7">
        <f t="array" ref="D5">SUM(COUNTIF('シート7'!$I$1:$J$373, A18:A21))</f>
        <v>18</v>
      </c>
    </row>
    <row r="6">
      <c r="A6" s="2" t="s">
        <v>51</v>
      </c>
      <c r="B6" s="7">
        <f>COUNTIF('シート7'!$I$1:$J$373,A6)</f>
        <v>18</v>
      </c>
      <c r="C6" s="2" t="s">
        <v>451</v>
      </c>
      <c r="D6" s="7">
        <f t="array" ref="D6">SUM(COUNTIF('シート7'!$I$1:$J$373, A22:A23))</f>
        <v>13</v>
      </c>
    </row>
    <row r="7">
      <c r="A7" s="2" t="s">
        <v>27</v>
      </c>
      <c r="B7" s="7">
        <f>COUNTIF('シート7'!$I$1:$J$373,A7)</f>
        <v>10</v>
      </c>
      <c r="C7" s="2" t="s">
        <v>452</v>
      </c>
      <c r="D7" s="7">
        <f t="array" ref="D7">SUM(COUNTIF('シート7'!$I$1:$J$373, A24:A28))</f>
        <v>12</v>
      </c>
    </row>
    <row r="8">
      <c r="A8" s="2" t="s">
        <v>43</v>
      </c>
      <c r="B8" s="7">
        <f>COUNTIF('シート7'!$I$1:$J$373,A8)</f>
        <v>6</v>
      </c>
      <c r="C8" s="2" t="s">
        <v>453</v>
      </c>
      <c r="D8" s="7">
        <f t="array" ref="D8">SUM(COUNTIF('シート7'!$I$1:$J$373, A29:A30))</f>
        <v>8</v>
      </c>
    </row>
    <row r="9">
      <c r="A9" s="2" t="s">
        <v>179</v>
      </c>
      <c r="B9" s="7">
        <f>COUNTIF('シート7'!$I$1:$J$373,A9)</f>
        <v>6</v>
      </c>
    </row>
    <row r="10">
      <c r="A10" s="2" t="s">
        <v>197</v>
      </c>
      <c r="B10" s="7">
        <f>COUNTIF('シート7'!$I$1:$J$373,A10)</f>
        <v>4</v>
      </c>
      <c r="C10" s="2" t="s">
        <v>454</v>
      </c>
      <c r="D10" s="7">
        <f>SUM(D2:D8)</f>
        <v>206</v>
      </c>
    </row>
    <row r="11">
      <c r="A11" s="2" t="s">
        <v>18</v>
      </c>
      <c r="B11" s="7">
        <f>COUNTIF('シート7'!$I$1:$J$373,A11)</f>
        <v>3</v>
      </c>
      <c r="C11" s="2" t="s">
        <v>455</v>
      </c>
      <c r="D11" s="7">
        <f>SUM(B38:B42)</f>
        <v>155</v>
      </c>
    </row>
    <row r="12">
      <c r="A12" s="2" t="s">
        <v>94</v>
      </c>
      <c r="B12" s="7">
        <f>COUNTIF('シート7'!$I$1:$J$373,A12)</f>
        <v>2</v>
      </c>
      <c r="C12" s="2" t="s">
        <v>456</v>
      </c>
      <c r="D12" s="7">
        <f>SUM(D10:D11)</f>
        <v>361</v>
      </c>
    </row>
    <row r="13">
      <c r="A13" s="2" t="s">
        <v>148</v>
      </c>
      <c r="B13" s="7">
        <f>COUNTIF('シート7'!$I$1:$J$373,A13)</f>
        <v>2</v>
      </c>
    </row>
    <row r="14">
      <c r="A14" s="2" t="s">
        <v>97</v>
      </c>
      <c r="B14" s="7">
        <f>COUNTIF('シート7'!$I$1:$J$373,A14)</f>
        <v>1</v>
      </c>
    </row>
    <row r="15">
      <c r="A15" s="2" t="s">
        <v>45</v>
      </c>
      <c r="B15" s="7">
        <f>COUNTIF('シート7'!$I$1:$J$373,A15)</f>
        <v>16</v>
      </c>
    </row>
    <row r="16">
      <c r="A16" s="2" t="s">
        <v>63</v>
      </c>
      <c r="B16" s="7">
        <f>COUNTIF('シート7'!$I$1:$J$373,A16)</f>
        <v>8</v>
      </c>
    </row>
    <row r="17">
      <c r="A17" s="2" t="s">
        <v>134</v>
      </c>
      <c r="B17" s="7">
        <f>COUNTIF('シート7'!$I$1:$J$373,A17)</f>
        <v>4</v>
      </c>
    </row>
    <row r="18">
      <c r="A18" s="2" t="s">
        <v>26</v>
      </c>
      <c r="B18" s="7">
        <f>COUNTIF('シート7'!$I$1:$J$373,A18)</f>
        <v>7</v>
      </c>
    </row>
    <row r="19">
      <c r="A19" s="2" t="s">
        <v>75</v>
      </c>
      <c r="B19" s="7">
        <f>COUNTIF('シート7'!$I$1:$J$373,A19)</f>
        <v>5</v>
      </c>
    </row>
    <row r="20">
      <c r="A20" s="2" t="s">
        <v>11</v>
      </c>
      <c r="B20" s="7">
        <f>COUNTIF('シート7'!$I$1:$J$373,A20)</f>
        <v>3</v>
      </c>
    </row>
    <row r="21">
      <c r="A21" s="2" t="s">
        <v>121</v>
      </c>
      <c r="B21" s="7">
        <f>COUNTIF('シート7'!$I$1:$J$373,A21)</f>
        <v>3</v>
      </c>
    </row>
    <row r="22">
      <c r="A22" s="2" t="s">
        <v>31</v>
      </c>
      <c r="B22" s="7">
        <f>COUNTIF('シート7'!$I$1:$J$373,A22)</f>
        <v>8</v>
      </c>
    </row>
    <row r="23">
      <c r="A23" s="2" t="s">
        <v>34</v>
      </c>
      <c r="B23" s="7">
        <f>COUNTIF('シート7'!$I$1:$J$373,A23)</f>
        <v>5</v>
      </c>
    </row>
    <row r="24">
      <c r="A24" s="2" t="s">
        <v>160</v>
      </c>
      <c r="B24" s="7">
        <f>COUNTIF('シート7'!$I$1:$J$373,A24)</f>
        <v>5</v>
      </c>
    </row>
    <row r="25">
      <c r="A25" s="2" t="s">
        <v>239</v>
      </c>
      <c r="B25" s="7">
        <f>COUNTIF('シート7'!$I$1:$J$373,A25)</f>
        <v>3</v>
      </c>
    </row>
    <row r="26">
      <c r="A26" s="2" t="s">
        <v>3</v>
      </c>
      <c r="B26" s="7">
        <f>COUNTIF('シート7'!$I$1:$J$373,A26)</f>
        <v>2</v>
      </c>
    </row>
    <row r="27">
      <c r="A27" s="2" t="s">
        <v>153</v>
      </c>
      <c r="B27" s="7">
        <f>COUNTIF('シート7'!$I$1:$J$373,A27)</f>
        <v>1</v>
      </c>
    </row>
    <row r="28">
      <c r="A28" s="2" t="s">
        <v>195</v>
      </c>
      <c r="B28" s="7">
        <f>COUNTIF('シート7'!$I$1:$J$373,A28)</f>
        <v>1</v>
      </c>
    </row>
    <row r="29">
      <c r="A29" s="2" t="s">
        <v>85</v>
      </c>
      <c r="B29" s="7">
        <f>COUNTIF('シート7'!$I$1:$J$373,A29)</f>
        <v>6</v>
      </c>
    </row>
    <row r="30">
      <c r="A30" s="2" t="s">
        <v>22</v>
      </c>
      <c r="B30" s="7">
        <f>COUNTIF('シート7'!$I$1:$J$373,A30)</f>
        <v>2</v>
      </c>
    </row>
    <row r="31">
      <c r="A31" s="19" t="s">
        <v>70</v>
      </c>
      <c r="B31" s="7">
        <f>COUNTIF('シート7'!$I$1:$J$373,A31)</f>
        <v>3</v>
      </c>
      <c r="C31" s="20"/>
    </row>
    <row r="32">
      <c r="A32" s="20" t="s">
        <v>5</v>
      </c>
      <c r="B32" s="7">
        <f>COUNTIF('シート7'!$I$1:$J$373,A32)</f>
        <v>58</v>
      </c>
      <c r="C32" s="20"/>
    </row>
    <row r="33">
      <c r="A33" s="20" t="s">
        <v>9</v>
      </c>
      <c r="B33" s="7">
        <f>COUNTIF('シート7'!$I$1:$J$373,A33)</f>
        <v>17</v>
      </c>
      <c r="C33" s="20"/>
    </row>
    <row r="34">
      <c r="A34" s="20" t="s">
        <v>91</v>
      </c>
      <c r="B34" s="7">
        <f>COUNTIF('シート7'!$I$1:$J$373,A34)</f>
        <v>10</v>
      </c>
      <c r="C34" s="20"/>
    </row>
    <row r="35">
      <c r="A35" s="20" t="s">
        <v>20</v>
      </c>
      <c r="B35" s="7">
        <f>COUNTIF('シート7'!$I$1:$J$373,A35)</f>
        <v>61</v>
      </c>
      <c r="C35" s="20"/>
    </row>
    <row r="36">
      <c r="A36" s="20" t="s">
        <v>53</v>
      </c>
      <c r="B36" s="7">
        <f>COUNTIF('シート7'!$I$1:$J$373,A36)</f>
        <v>6</v>
      </c>
      <c r="C36" s="20"/>
    </row>
    <row r="38">
      <c r="A38" s="2" t="s">
        <v>457</v>
      </c>
      <c r="B38" s="7">
        <f t="shared" ref="B38:B39" si="1">SUM(B32)</f>
        <v>58</v>
      </c>
    </row>
    <row r="39">
      <c r="A39" s="2" t="s">
        <v>458</v>
      </c>
      <c r="B39" s="7">
        <f t="shared" si="1"/>
        <v>17</v>
      </c>
    </row>
    <row r="40">
      <c r="A40" s="2" t="s">
        <v>459</v>
      </c>
      <c r="B40" s="7">
        <f>SUM(B36+B31)</f>
        <v>9</v>
      </c>
    </row>
    <row r="41">
      <c r="A41" s="2" t="s">
        <v>460</v>
      </c>
      <c r="B41" s="7">
        <f>sum(B35)</f>
        <v>61</v>
      </c>
    </row>
    <row r="42">
      <c r="A42" s="2" t="s">
        <v>461</v>
      </c>
      <c r="B42" s="7">
        <f>sum(B34)</f>
        <v>10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3" max="3" width="21.25"/>
  </cols>
  <sheetData>
    <row r="1">
      <c r="A1" s="2" t="s">
        <v>1</v>
      </c>
      <c r="C1" s="2" t="s">
        <v>446</v>
      </c>
    </row>
    <row r="2">
      <c r="A2" s="2" t="s">
        <v>14</v>
      </c>
      <c r="B2" s="7">
        <f>COUNTIF(Label!$B$2:$C$309,A2)</f>
        <v>34</v>
      </c>
      <c r="C2" s="2" t="s">
        <v>447</v>
      </c>
      <c r="D2" s="7">
        <f t="array" ref="D2">SUM(COUNTIF(Label!$B$2:$C$309, A2:A5))</f>
        <v>66</v>
      </c>
    </row>
    <row r="3">
      <c r="A3" s="2" t="s">
        <v>23</v>
      </c>
      <c r="B3" s="7">
        <f>COUNTIF(Label!$B$2:$C$309,A3)</f>
        <v>11</v>
      </c>
      <c r="C3" s="2" t="s">
        <v>448</v>
      </c>
      <c r="D3" s="7">
        <f t="array" ref="D3">SUM(COUNTIF(Label!$B$2:$C$309, A6:A14))</f>
        <v>49</v>
      </c>
    </row>
    <row r="4">
      <c r="A4" s="2" t="s">
        <v>7</v>
      </c>
      <c r="B4" s="7">
        <f>COUNTIF(Label!$B$2:$C$309,A4)</f>
        <v>11</v>
      </c>
      <c r="C4" s="2" t="s">
        <v>449</v>
      </c>
      <c r="D4" s="7">
        <f t="array" ref="D4">SUM(COUNTIF(Label!$B$2:$C$309, A15:A17))</f>
        <v>24</v>
      </c>
    </row>
    <row r="5">
      <c r="A5" s="2" t="s">
        <v>130</v>
      </c>
      <c r="B5" s="7">
        <f>COUNTIF(Label!$B$2:$C$309,A5)</f>
        <v>10</v>
      </c>
      <c r="C5" s="2" t="s">
        <v>450</v>
      </c>
      <c r="D5" s="7">
        <f t="array" ref="D5">SUM(COUNTIF(Label!$B$2:$C$309, A18:A21))</f>
        <v>17</v>
      </c>
    </row>
    <row r="6">
      <c r="A6" s="2" t="s">
        <v>51</v>
      </c>
      <c r="B6" s="7">
        <f>COUNTIF(Label!$B$2:$C$309,A6)</f>
        <v>17</v>
      </c>
      <c r="C6" s="2" t="s">
        <v>451</v>
      </c>
      <c r="D6" s="7">
        <f t="array" ref="D6">SUM(COUNTIF(Label!$B$2:$C$309, A22:A23))</f>
        <v>12</v>
      </c>
    </row>
    <row r="7">
      <c r="A7" s="2" t="s">
        <v>27</v>
      </c>
      <c r="B7" s="7">
        <f>COUNTIF(Label!$B$2:$C$309,A7)</f>
        <v>8</v>
      </c>
      <c r="C7" s="2" t="s">
        <v>452</v>
      </c>
      <c r="D7" s="7">
        <f t="array" ref="D7">SUM(COUNTIF(Label!$B$2:$C$309, A24:A28))</f>
        <v>11</v>
      </c>
    </row>
    <row r="8">
      <c r="A8" s="2" t="s">
        <v>43</v>
      </c>
      <c r="B8" s="7">
        <f>COUNTIF(Label!$B$2:$C$309,A8)</f>
        <v>6</v>
      </c>
      <c r="C8" s="2" t="s">
        <v>453</v>
      </c>
      <c r="D8" s="7">
        <f t="array" ref="D8">SUM(COUNTIF(Label!$B$2:$C$309, A29:A30))</f>
        <v>8</v>
      </c>
    </row>
    <row r="9">
      <c r="A9" s="2" t="s">
        <v>179</v>
      </c>
      <c r="B9" s="7">
        <f>COUNTIF(Label!$B$2:$C$309,A9)</f>
        <v>6</v>
      </c>
    </row>
    <row r="10">
      <c r="A10" s="2" t="s">
        <v>197</v>
      </c>
      <c r="B10" s="7">
        <f>COUNTIF(Label!$B$2:$C$309,A10)</f>
        <v>4</v>
      </c>
    </row>
    <row r="11">
      <c r="A11" s="2" t="s">
        <v>18</v>
      </c>
      <c r="B11" s="7">
        <f>COUNTIF(Label!$B$2:$C$309,A11)</f>
        <v>3</v>
      </c>
    </row>
    <row r="12">
      <c r="A12" s="2" t="s">
        <v>94</v>
      </c>
      <c r="B12" s="7">
        <f>COUNTIF(Label!$B$2:$C$309,A12)</f>
        <v>2</v>
      </c>
    </row>
    <row r="13">
      <c r="A13" s="2" t="s">
        <v>148</v>
      </c>
      <c r="B13" s="7">
        <f>COUNTIF(Label!$B$2:$C$309,A13)</f>
        <v>2</v>
      </c>
    </row>
    <row r="14">
      <c r="A14" s="2" t="s">
        <v>97</v>
      </c>
      <c r="B14" s="7">
        <f>COUNTIF(Label!$B$2:$C$309,A14)</f>
        <v>1</v>
      </c>
    </row>
    <row r="15">
      <c r="A15" s="2" t="s">
        <v>45</v>
      </c>
      <c r="B15" s="7">
        <f>COUNTIF(Label!$B$2:$C$309,A15)</f>
        <v>14</v>
      </c>
    </row>
    <row r="16">
      <c r="A16" s="2" t="s">
        <v>63</v>
      </c>
      <c r="B16" s="7">
        <f>COUNTIF(Label!$B$2:$C$309,A16)</f>
        <v>8</v>
      </c>
    </row>
    <row r="17">
      <c r="A17" s="2" t="s">
        <v>134</v>
      </c>
      <c r="B17" s="7">
        <f>COUNTIF(Label!$B$2:$C$309,A17)</f>
        <v>2</v>
      </c>
    </row>
    <row r="18">
      <c r="A18" s="2" t="s">
        <v>26</v>
      </c>
      <c r="B18" s="7">
        <f>COUNTIF(Label!$B$2:$C$309,A18)</f>
        <v>7</v>
      </c>
    </row>
    <row r="19">
      <c r="A19" s="2" t="s">
        <v>75</v>
      </c>
      <c r="B19" s="7">
        <f>COUNTIF(Label!$B$2:$C$309,A19)</f>
        <v>4</v>
      </c>
    </row>
    <row r="20">
      <c r="A20" s="2" t="s">
        <v>11</v>
      </c>
      <c r="B20" s="7">
        <f>COUNTIF(Label!$B$2:$C$309,A20)</f>
        <v>3</v>
      </c>
    </row>
    <row r="21">
      <c r="A21" s="2" t="s">
        <v>121</v>
      </c>
      <c r="B21" s="7">
        <f>COUNTIF(Label!$B$2:$C$309,A21)</f>
        <v>3</v>
      </c>
    </row>
    <row r="22">
      <c r="A22" s="2" t="s">
        <v>31</v>
      </c>
      <c r="B22" s="7">
        <f>COUNTIF(Label!$B$2:$C$309,A22)</f>
        <v>7</v>
      </c>
    </row>
    <row r="23">
      <c r="A23" s="2" t="s">
        <v>34</v>
      </c>
      <c r="B23" s="7">
        <f>COUNTIF(Label!$B$2:$C$309,A23)</f>
        <v>5</v>
      </c>
    </row>
    <row r="24">
      <c r="A24" s="2" t="s">
        <v>160</v>
      </c>
      <c r="B24" s="7">
        <f>COUNTIF(Label!$B$2:$C$309,A24)</f>
        <v>4</v>
      </c>
    </row>
    <row r="25">
      <c r="A25" s="2" t="s">
        <v>239</v>
      </c>
      <c r="B25" s="7">
        <f>COUNTIF(Label!$B$2:$C$309,A25)</f>
        <v>3</v>
      </c>
    </row>
    <row r="26">
      <c r="A26" s="2" t="s">
        <v>3</v>
      </c>
      <c r="B26" s="7">
        <f>COUNTIF(Label!$B$2:$C$309,A26)</f>
        <v>2</v>
      </c>
    </row>
    <row r="27">
      <c r="A27" s="2" t="s">
        <v>153</v>
      </c>
      <c r="B27" s="7">
        <f>COUNTIF(Label!$B$2:$C$309,A27)</f>
        <v>1</v>
      </c>
    </row>
    <row r="28">
      <c r="A28" s="2" t="s">
        <v>195</v>
      </c>
      <c r="B28" s="7">
        <f>COUNTIF(Label!$B$2:$C$309,A28)</f>
        <v>1</v>
      </c>
    </row>
    <row r="29">
      <c r="A29" s="2" t="s">
        <v>85</v>
      </c>
      <c r="B29" s="7">
        <f>COUNTIF(Label!$B$2:$C$309,A29)</f>
        <v>6</v>
      </c>
    </row>
    <row r="30">
      <c r="A30" s="2" t="s">
        <v>22</v>
      </c>
      <c r="B30" s="7">
        <f>COUNTIF(Label!$B$2:$C$309,A30)</f>
        <v>2</v>
      </c>
    </row>
    <row r="31">
      <c r="B31" s="7">
        <f>COUNTIF(Label!$B$2:$C$309,A31)</f>
        <v>0</v>
      </c>
    </row>
    <row r="32">
      <c r="B32" s="7">
        <f>COUNTIF(Label!$B$2:$C$309,A32)</f>
        <v>0</v>
      </c>
    </row>
    <row r="33">
      <c r="A33" s="20" t="s">
        <v>5</v>
      </c>
      <c r="B33" s="7">
        <f>COUNTIF(Label!$B$2:$C$309,A33)</f>
        <v>55</v>
      </c>
      <c r="C33" s="20" t="s">
        <v>462</v>
      </c>
    </row>
    <row r="34">
      <c r="A34" s="20" t="s">
        <v>9</v>
      </c>
      <c r="B34" s="7">
        <f>COUNTIF(Label!$B$2:$C$309,A34)</f>
        <v>17</v>
      </c>
      <c r="C34" s="20" t="s">
        <v>463</v>
      </c>
    </row>
    <row r="35">
      <c r="A35" s="20" t="s">
        <v>91</v>
      </c>
      <c r="B35" s="7">
        <f>COUNTIF(Label!$B$2:$C$309,A35)</f>
        <v>8</v>
      </c>
      <c r="C35" s="20" t="s">
        <v>464</v>
      </c>
    </row>
    <row r="36">
      <c r="A36" s="20" t="s">
        <v>20</v>
      </c>
      <c r="B36" s="7">
        <f>COUNTIF(Label!$B$2:$C$309,A36)</f>
        <v>49</v>
      </c>
      <c r="C36" s="20" t="s">
        <v>465</v>
      </c>
    </row>
    <row r="37">
      <c r="A37" s="20" t="s">
        <v>53</v>
      </c>
      <c r="B37" s="7">
        <f>COUNTIF(Label!$B$2:$C$309,A37)</f>
        <v>4</v>
      </c>
      <c r="C37" s="20" t="s">
        <v>466</v>
      </c>
    </row>
  </sheetData>
  <drawing r:id="rId1"/>
</worksheet>
</file>